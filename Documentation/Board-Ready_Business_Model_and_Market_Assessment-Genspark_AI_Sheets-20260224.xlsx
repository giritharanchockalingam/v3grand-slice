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giritharanchockalingam/Projects/GitHub/v3grand-slice-cursor/Documentation/"/>
    </mc:Choice>
  </mc:AlternateContent>
  <xr:revisionPtr revIDLastSave="0" documentId="8_{9624D457-BF13-444E-ADC0-634C7CCCEF1C}" xr6:coauthVersionLast="47" xr6:coauthVersionMax="47" xr10:uidLastSave="{00000000-0000-0000-0000-000000000000}"/>
  <bookViews>
    <workbookView xWindow="0" yWindow="680" windowWidth="34200" windowHeight="19680" firstSheet="2" activeTab="2" xr2:uid="{00000000-000D-0000-FFFF-FFFF00000000}"/>
  </bookViews>
  <sheets>
    <sheet name="0. Investment Memo" sheetId="1" r:id="rId1"/>
    <sheet name="1. Executive Summary" sheetId="2" r:id="rId2"/>
    <sheet name="2. Market Opportunity" sheetId="3" r:id="rId3"/>
    <sheet name="3. Key Assumptions" sheetId="4" r:id="rId4"/>
    <sheet name="4. CAPEX &amp; Phasing" sheetId="5" r:id="rId5"/>
    <sheet name="5. Revenue — Phase 1" sheetId="6" r:id="rId6"/>
    <sheet name="6. Revenue — Phased" sheetId="7" r:id="rId7"/>
    <sheet name="7. Operating Expenses" sheetId="8" r:id="rId8"/>
    <sheet name="8. EBITDA &amp; CF — P1" sheetId="9" r:id="rId9"/>
    <sheet name="9. EBITDA &amp; CF — Phased" sheetId="10" r:id="rId10"/>
    <sheet name="10. Returns Analysis" sheetId="11" r:id="rId11"/>
    <sheet name="11. Scenario Stress Test" sheetId="12" r:id="rId12"/>
    <sheet name="12. Operating Model Decision" sheetId="13" r:id="rId13"/>
    <sheet name="13. Phase 2 Gate" sheetId="14" r:id="rId14"/>
    <sheet name="15. WACC Calculation" sheetId="15" r:id="rId15"/>
    <sheet name="_ChartData" sheetId="16" state="hidden" r:id="rId16"/>
    <sheet name="14. Capital Structure Analysis" sheetId="17" r:id="rId17"/>
    <sheet name="16. Lite Alternative" sheetId="18" r:id="rId18"/>
    <sheet name="VALIDATION REPORT" sheetId="19" r:id="rId19"/>
  </sheets>
  <definedNames>
    <definedName name="_xlnm.Print_Area" localSheetId="1">'1. Executive Summary'!$A$3:$P$97</definedName>
    <definedName name="_xlnm.Print_Area" localSheetId="10">'10. Returns Analysis'!$B$2:$M$58</definedName>
    <definedName name="_xlnm.Print_Area" localSheetId="11">'11. Scenario Stress Test'!$B$7:$L$44</definedName>
    <definedName name="_xlnm.Print_Area" localSheetId="13">'13. Phase 2 Gate'!$B$4:$G$44</definedName>
    <definedName name="_xlnm.Print_Area" localSheetId="2">'2. Market Opportunity'!$B$2:$H$33</definedName>
    <definedName name="_xlnm.Print_Area" localSheetId="3">'3. Key Assumptions'!$B$4:$M$127</definedName>
    <definedName name="_xlnm.Print_Area" localSheetId="4">'4. CAPEX &amp; Phasing'!$B$2:$P$38</definedName>
    <definedName name="_xlnm.Print_Area" localSheetId="5">'5. Revenue — Phase 1'!$B$4:$L$42</definedName>
    <definedName name="_xlnm.Print_Area" localSheetId="6">'6. Revenue — Phased'!$B$4:$L$35</definedName>
    <definedName name="_xlnm.Print_Area" localSheetId="7">'7. Operating Expenses'!$B$4:$L$28</definedName>
    <definedName name="_xlnm.Print_Area" localSheetId="8">'8. EBITDA &amp; CF — P1'!$B$4:$L$28</definedName>
    <definedName name="_xlnm.Print_Area" localSheetId="9">'9. EBITDA &amp; CF — Phased'!$B$4:$L$29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15" l="1" a="1"/>
  <c r="I71" i="15"/>
  <c r="I69" i="15" a="1"/>
  <c r="I69" i="15"/>
  <c r="C45" i="15" a="1"/>
  <c r="C45" i="15"/>
  <c r="C47" i="15" s="1"/>
  <c r="I70" i="15" s="1" a="1"/>
  <c r="I70" i="15" s="1"/>
  <c r="C25" i="15"/>
  <c r="C40" i="15" s="1" a="1"/>
  <c r="C40" i="15" s="1"/>
  <c r="G16" i="15"/>
  <c r="C29" i="15" s="1" a="1"/>
  <c r="C29" i="15" s="1"/>
  <c r="C33" i="15" s="1"/>
  <c r="C39" i="15" s="1" a="1"/>
  <c r="C39" i="15" s="1"/>
  <c r="G14" i="15"/>
  <c r="G12" i="15"/>
  <c r="C7" i="15" a="1"/>
  <c r="C7" i="15" s="1"/>
  <c r="C79" i="13"/>
  <c r="C78" i="13"/>
  <c r="C77" i="13"/>
  <c r="C73" i="13"/>
  <c r="C74" i="13" s="1"/>
  <c r="M94" i="13" s="1"/>
  <c r="C71" i="13"/>
  <c r="G61" i="13"/>
  <c r="G63" i="13" s="1"/>
  <c r="F61" i="13"/>
  <c r="F63" i="13" s="1"/>
  <c r="E61" i="13"/>
  <c r="E63" i="13" s="1"/>
  <c r="D61" i="13"/>
  <c r="D63" i="13" s="1"/>
  <c r="C61" i="13"/>
  <c r="L60" i="13"/>
  <c r="K60" i="13"/>
  <c r="J60" i="13"/>
  <c r="I60" i="13"/>
  <c r="H60" i="13"/>
  <c r="G60" i="13"/>
  <c r="F60" i="13"/>
  <c r="E60" i="13"/>
  <c r="D60" i="13"/>
  <c r="C60" i="13"/>
  <c r="L51" i="13"/>
  <c r="K51" i="13"/>
  <c r="J51" i="13"/>
  <c r="I51" i="13"/>
  <c r="H51" i="13"/>
  <c r="G51" i="13"/>
  <c r="F51" i="13"/>
  <c r="E51" i="13"/>
  <c r="D51" i="13"/>
  <c r="C51" i="13"/>
  <c r="L41" i="13"/>
  <c r="K41" i="13"/>
  <c r="J41" i="13"/>
  <c r="I41" i="13"/>
  <c r="H41" i="13"/>
  <c r="G41" i="13"/>
  <c r="F41" i="13"/>
  <c r="E41" i="13"/>
  <c r="D41" i="13"/>
  <c r="C41" i="13"/>
  <c r="L34" i="13"/>
  <c r="K34" i="13"/>
  <c r="J34" i="13"/>
  <c r="I34" i="13"/>
  <c r="H34" i="13"/>
  <c r="G34" i="13"/>
  <c r="F34" i="13"/>
  <c r="E34" i="13"/>
  <c r="D34" i="13"/>
  <c r="C34" i="13"/>
  <c r="L31" i="13"/>
  <c r="K31" i="13"/>
  <c r="J31" i="13"/>
  <c r="I31" i="13"/>
  <c r="H31" i="13"/>
  <c r="G31" i="13"/>
  <c r="F31" i="13"/>
  <c r="E31" i="13"/>
  <c r="D31" i="13"/>
  <c r="C31" i="13"/>
  <c r="Z5" i="13"/>
  <c r="Y5" i="13"/>
  <c r="X5" i="13"/>
  <c r="W5" i="13"/>
  <c r="V5" i="13"/>
  <c r="U5" i="13"/>
  <c r="T5" i="13"/>
  <c r="S5" i="13"/>
  <c r="R5" i="13"/>
  <c r="Q5" i="13"/>
  <c r="F28" i="12"/>
  <c r="F27" i="12"/>
  <c r="F26" i="12"/>
  <c r="F23" i="12"/>
  <c r="C30" i="12" s="1"/>
  <c r="H100" i="11"/>
  <c r="C39" i="11"/>
  <c r="C33" i="11"/>
  <c r="C29" i="11"/>
  <c r="M26" i="11"/>
  <c r="L26" i="11"/>
  <c r="K26" i="11"/>
  <c r="J26" i="11"/>
  <c r="I26" i="11"/>
  <c r="H26" i="11"/>
  <c r="G26" i="11"/>
  <c r="F26" i="11"/>
  <c r="E26" i="11"/>
  <c r="D26" i="11"/>
  <c r="C17" i="11"/>
  <c r="M10" i="11"/>
  <c r="L10" i="11"/>
  <c r="K10" i="11"/>
  <c r="J10" i="11"/>
  <c r="I10" i="11"/>
  <c r="H10" i="11"/>
  <c r="G10" i="11"/>
  <c r="F10" i="11"/>
  <c r="E10" i="11"/>
  <c r="D10" i="11"/>
  <c r="L25" i="10"/>
  <c r="K25" i="10"/>
  <c r="J25" i="10"/>
  <c r="I25" i="10"/>
  <c r="H25" i="10"/>
  <c r="G25" i="10"/>
  <c r="F25" i="10"/>
  <c r="E25" i="10"/>
  <c r="L22" i="10"/>
  <c r="K22" i="10"/>
  <c r="J22" i="10"/>
  <c r="I22" i="10"/>
  <c r="H22" i="10"/>
  <c r="G22" i="10"/>
  <c r="F22" i="10"/>
  <c r="E22" i="10"/>
  <c r="D22" i="10"/>
  <c r="C22" i="10"/>
  <c r="L8" i="10"/>
  <c r="K8" i="10"/>
  <c r="J8" i="10"/>
  <c r="I8" i="10"/>
  <c r="H8" i="10"/>
  <c r="G8" i="10"/>
  <c r="F8" i="10"/>
  <c r="E8" i="10"/>
  <c r="D8" i="10"/>
  <c r="C8" i="10"/>
  <c r="L24" i="9"/>
  <c r="K24" i="9"/>
  <c r="J24" i="9"/>
  <c r="I24" i="9"/>
  <c r="H24" i="9"/>
  <c r="G24" i="9"/>
  <c r="F24" i="9"/>
  <c r="E24" i="9"/>
  <c r="L22" i="9"/>
  <c r="K22" i="9"/>
  <c r="J22" i="9"/>
  <c r="I22" i="9"/>
  <c r="H22" i="9"/>
  <c r="G22" i="9"/>
  <c r="F22" i="9"/>
  <c r="E22" i="9"/>
  <c r="D22" i="9"/>
  <c r="C22" i="9"/>
  <c r="L8" i="9"/>
  <c r="K8" i="9"/>
  <c r="J8" i="9"/>
  <c r="I8" i="9"/>
  <c r="H8" i="9"/>
  <c r="G8" i="9"/>
  <c r="F8" i="9"/>
  <c r="E8" i="9"/>
  <c r="D8" i="9"/>
  <c r="C8" i="9"/>
  <c r="L19" i="8"/>
  <c r="L17" i="8"/>
  <c r="K17" i="8"/>
  <c r="J17" i="8"/>
  <c r="I17" i="8"/>
  <c r="H17" i="8"/>
  <c r="G17" i="8"/>
  <c r="F17" i="8"/>
  <c r="E17" i="8"/>
  <c r="D17" i="8"/>
  <c r="C17" i="8"/>
  <c r="L16" i="8"/>
  <c r="K16" i="8"/>
  <c r="J16" i="8"/>
  <c r="I16" i="8"/>
  <c r="H16" i="8"/>
  <c r="G16" i="8"/>
  <c r="F16" i="8"/>
  <c r="E16" i="8"/>
  <c r="D16" i="8"/>
  <c r="C16" i="8"/>
  <c r="L15" i="8"/>
  <c r="K15" i="8"/>
  <c r="J15" i="8"/>
  <c r="I15" i="8"/>
  <c r="H15" i="8"/>
  <c r="G15" i="8"/>
  <c r="F15" i="8"/>
  <c r="E15" i="8"/>
  <c r="D15" i="8"/>
  <c r="C15" i="8"/>
  <c r="L14" i="8"/>
  <c r="K14" i="8"/>
  <c r="J14" i="8"/>
  <c r="I14" i="8"/>
  <c r="H14" i="8"/>
  <c r="G14" i="8"/>
  <c r="F14" i="8"/>
  <c r="E14" i="8"/>
  <c r="D14" i="8"/>
  <c r="C14" i="8"/>
  <c r="L13" i="8"/>
  <c r="K13" i="8"/>
  <c r="J13" i="8"/>
  <c r="I13" i="8"/>
  <c r="H13" i="8"/>
  <c r="G13" i="8"/>
  <c r="F13" i="8"/>
  <c r="E13" i="8"/>
  <c r="D13" i="8"/>
  <c r="C13" i="8"/>
  <c r="L12" i="8"/>
  <c r="K12" i="8"/>
  <c r="J12" i="8"/>
  <c r="I12" i="8"/>
  <c r="H12" i="8"/>
  <c r="G12" i="8"/>
  <c r="F12" i="8"/>
  <c r="E12" i="8"/>
  <c r="D12" i="8"/>
  <c r="C12" i="8"/>
  <c r="L11" i="8"/>
  <c r="K11" i="8"/>
  <c r="K19" i="8" s="1"/>
  <c r="J11" i="8"/>
  <c r="J19" i="8" s="1"/>
  <c r="I11" i="8"/>
  <c r="I19" i="8" s="1"/>
  <c r="H11" i="8"/>
  <c r="H19" i="8" s="1"/>
  <c r="G11" i="8"/>
  <c r="G19" i="8" s="1"/>
  <c r="F11" i="8"/>
  <c r="F19" i="8" s="1"/>
  <c r="E11" i="8"/>
  <c r="E19" i="8" s="1"/>
  <c r="D11" i="8"/>
  <c r="D19" i="8" s="1"/>
  <c r="C11" i="8"/>
  <c r="C19" i="8" s="1"/>
  <c r="L25" i="7"/>
  <c r="K25" i="7"/>
  <c r="J25" i="7"/>
  <c r="I25" i="7"/>
  <c r="H25" i="7"/>
  <c r="G25" i="7"/>
  <c r="F25" i="7"/>
  <c r="E25" i="7"/>
  <c r="D25" i="7"/>
  <c r="C25" i="7"/>
  <c r="L19" i="7"/>
  <c r="L20" i="7" s="1"/>
  <c r="L22" i="7" s="1"/>
  <c r="L35" i="7" s="1"/>
  <c r="K19" i="7"/>
  <c r="K20" i="7" s="1"/>
  <c r="K22" i="7" s="1"/>
  <c r="K35" i="7" s="1"/>
  <c r="J19" i="7"/>
  <c r="J20" i="7" s="1"/>
  <c r="J22" i="7" s="1"/>
  <c r="J35" i="7" s="1"/>
  <c r="I19" i="7"/>
  <c r="I20" i="7" s="1"/>
  <c r="I22" i="7" s="1"/>
  <c r="I35" i="7" s="1"/>
  <c r="H19" i="7"/>
  <c r="H20" i="7" s="1"/>
  <c r="H22" i="7" s="1"/>
  <c r="H35" i="7" s="1"/>
  <c r="G19" i="7"/>
  <c r="G20" i="7" s="1"/>
  <c r="G22" i="7" s="1"/>
  <c r="G35" i="7" s="1"/>
  <c r="F19" i="7"/>
  <c r="F20" i="7" s="1"/>
  <c r="F22" i="7" s="1"/>
  <c r="F35" i="7" s="1"/>
  <c r="E19" i="7"/>
  <c r="E20" i="7" s="1"/>
  <c r="E22" i="7" s="1"/>
  <c r="E35" i="7" s="1"/>
  <c r="D19" i="7"/>
  <c r="D20" i="7" s="1"/>
  <c r="D22" i="7" s="1"/>
  <c r="D35" i="7" s="1"/>
  <c r="C19" i="7"/>
  <c r="C20" i="7" s="1"/>
  <c r="C22" i="7" s="1"/>
  <c r="C35" i="7" s="1"/>
  <c r="L18" i="7" a="1"/>
  <c r="L18" i="7"/>
  <c r="K18" i="7" a="1"/>
  <c r="K18" i="7"/>
  <c r="J18" i="7" a="1"/>
  <c r="J18" i="7"/>
  <c r="I18" i="7" a="1"/>
  <c r="I18" i="7"/>
  <c r="H18" i="7" a="1"/>
  <c r="H18" i="7"/>
  <c r="G18" i="7" a="1"/>
  <c r="G18" i="7"/>
  <c r="F18" i="7" a="1"/>
  <c r="F18" i="7"/>
  <c r="E11" i="7"/>
  <c r="D11" i="7"/>
  <c r="C11" i="7"/>
  <c r="L10" i="7" a="1"/>
  <c r="L10" i="7"/>
  <c r="L11" i="7" s="1"/>
  <c r="K10" i="7" a="1"/>
  <c r="K10" i="7"/>
  <c r="K11" i="7" s="1"/>
  <c r="J10" i="7" a="1"/>
  <c r="J10" i="7"/>
  <c r="J11" i="7" s="1"/>
  <c r="I10" i="7" a="1"/>
  <c r="I10" i="7"/>
  <c r="I11" i="7" s="1"/>
  <c r="H10" i="7" a="1"/>
  <c r="H10" i="7"/>
  <c r="H11" i="7" s="1"/>
  <c r="G10" i="7" a="1"/>
  <c r="G10" i="7"/>
  <c r="G11" i="7" s="1"/>
  <c r="F10" i="7" a="1"/>
  <c r="F10" i="7" s="1"/>
  <c r="F11" i="7" s="1"/>
  <c r="E10" i="7" a="1"/>
  <c r="E10" i="7"/>
  <c r="D10" i="7" a="1"/>
  <c r="D10" i="7"/>
  <c r="C10" i="7" a="1"/>
  <c r="C10" i="7"/>
  <c r="L36" i="6"/>
  <c r="K36" i="6"/>
  <c r="J36" i="6"/>
  <c r="I36" i="6"/>
  <c r="H36" i="6"/>
  <c r="G36" i="6"/>
  <c r="F36" i="6"/>
  <c r="E36" i="6"/>
  <c r="D36" i="6"/>
  <c r="C36" i="6"/>
  <c r="L14" i="6" a="1"/>
  <c r="L14" i="6"/>
  <c r="L17" i="6" s="1"/>
  <c r="L42" i="6" s="1"/>
  <c r="K14" i="6" a="1"/>
  <c r="K14" i="6"/>
  <c r="K17" i="6" s="1"/>
  <c r="K42" i="6" s="1"/>
  <c r="J14" i="6" a="1"/>
  <c r="J14" i="6"/>
  <c r="J17" i="6" s="1"/>
  <c r="I14" i="6" a="1"/>
  <c r="I14" i="6"/>
  <c r="I17" i="6" s="1"/>
  <c r="H14" i="6" a="1"/>
  <c r="H14" i="6"/>
  <c r="H17" i="6" s="1"/>
  <c r="G14" i="6" a="1"/>
  <c r="G14" i="6"/>
  <c r="G17" i="6" s="1"/>
  <c r="F14" i="6" a="1"/>
  <c r="F14" i="6"/>
  <c r="F17" i="6" s="1"/>
  <c r="F42" i="6" s="1"/>
  <c r="E14" i="6" a="1"/>
  <c r="E14" i="6"/>
  <c r="E17" i="6" s="1"/>
  <c r="D14" i="6" a="1"/>
  <c r="D14" i="6"/>
  <c r="D17" i="6" s="1"/>
  <c r="C14" i="6" a="1"/>
  <c r="C14" i="6"/>
  <c r="C17" i="6" s="1"/>
  <c r="L11" i="6"/>
  <c r="L15" i="6" s="1"/>
  <c r="L20" i="6" s="1"/>
  <c r="K11" i="6"/>
  <c r="K15" i="6" s="1"/>
  <c r="K20" i="6" s="1"/>
  <c r="J11" i="6"/>
  <c r="J15" i="6" s="1"/>
  <c r="J20" i="6" s="1"/>
  <c r="I11" i="6"/>
  <c r="I15" i="6" s="1"/>
  <c r="I20" i="6" s="1"/>
  <c r="H11" i="6"/>
  <c r="H15" i="6" s="1"/>
  <c r="H20" i="6" s="1"/>
  <c r="G11" i="6"/>
  <c r="G15" i="6" s="1"/>
  <c r="G20" i="6" s="1"/>
  <c r="F11" i="6"/>
  <c r="F15" i="6" s="1"/>
  <c r="F20" i="6" s="1"/>
  <c r="E11" i="6"/>
  <c r="E15" i="6" s="1"/>
  <c r="E20" i="6" s="1"/>
  <c r="D11" i="6"/>
  <c r="D15" i="6" s="1"/>
  <c r="D20" i="6" s="1"/>
  <c r="C11" i="6"/>
  <c r="C15" i="6" s="1"/>
  <c r="C20" i="6" s="1"/>
  <c r="N37" i="5"/>
  <c r="M37" i="5"/>
  <c r="L37" i="5"/>
  <c r="H37" i="5"/>
  <c r="G37" i="5"/>
  <c r="F37" i="5"/>
  <c r="E37" i="5"/>
  <c r="D37" i="5"/>
  <c r="C37" i="5"/>
  <c r="C38" i="5" s="1"/>
  <c r="D38" i="5" s="1"/>
  <c r="E38" i="5" s="1"/>
  <c r="F38" i="5" s="1"/>
  <c r="G38" i="5" s="1"/>
  <c r="H38" i="5" s="1"/>
  <c r="I38" i="5" s="1"/>
  <c r="I36" i="5"/>
  <c r="O35" i="5"/>
  <c r="I35" i="5"/>
  <c r="P35" i="5" s="1"/>
  <c r="O34" i="5"/>
  <c r="I34" i="5"/>
  <c r="P34" i="5" s="1"/>
  <c r="O33" i="5"/>
  <c r="I33" i="5"/>
  <c r="P33" i="5" s="1"/>
  <c r="O32" i="5"/>
  <c r="I32" i="5"/>
  <c r="P32" i="5" s="1"/>
  <c r="O31" i="5"/>
  <c r="I31" i="5"/>
  <c r="P31" i="5" s="1"/>
  <c r="O30" i="5"/>
  <c r="O37" i="5" s="1"/>
  <c r="I30" i="5"/>
  <c r="C24" i="5"/>
  <c r="D22" i="5" s="1"/>
  <c r="D23" i="5"/>
  <c r="D21" i="5"/>
  <c r="D20" i="5"/>
  <c r="D19" i="5"/>
  <c r="D18" i="5"/>
  <c r="C14" i="5"/>
  <c r="D12" i="5"/>
  <c r="D11" i="5"/>
  <c r="D10" i="5"/>
  <c r="D9" i="5"/>
  <c r="D8" i="5"/>
  <c r="D7" i="5"/>
  <c r="F118" i="4"/>
  <c r="D118" i="4"/>
  <c r="D126" i="4" s="1"/>
  <c r="D127" i="4" s="1"/>
  <c r="C118" i="4"/>
  <c r="C126" i="4" s="1"/>
  <c r="C127" i="4" s="1"/>
  <c r="G117" i="4"/>
  <c r="G118" i="4" s="1"/>
  <c r="F117" i="4"/>
  <c r="G116" i="4"/>
  <c r="F116" i="4"/>
  <c r="G115" i="4"/>
  <c r="F115" i="4"/>
  <c r="G114" i="4"/>
  <c r="F114" i="4"/>
  <c r="D110" i="4"/>
  <c r="C110" i="4"/>
  <c r="G109" i="4"/>
  <c r="F109" i="4"/>
  <c r="G108" i="4"/>
  <c r="F108" i="4"/>
  <c r="G107" i="4"/>
  <c r="G110" i="4" s="1"/>
  <c r="F107" i="4"/>
  <c r="F110" i="4" s="1"/>
  <c r="C81" i="4"/>
  <c r="C82" i="4" s="1"/>
  <c r="C70" i="4"/>
  <c r="C58" i="4"/>
  <c r="H54" i="4"/>
  <c r="I54" i="4" s="1"/>
  <c r="H53" i="4"/>
  <c r="I53" i="4" s="1"/>
  <c r="H52" i="4"/>
  <c r="I52" i="4" s="1"/>
  <c r="H51" i="4"/>
  <c r="I51" i="4" s="1"/>
  <c r="L41" i="4"/>
  <c r="K41" i="4"/>
  <c r="E41" i="4"/>
  <c r="D41" i="4"/>
  <c r="C41" i="4"/>
  <c r="G37" i="4" a="1"/>
  <c r="G37" i="4"/>
  <c r="J25" i="4"/>
  <c r="J24" i="4"/>
  <c r="J23" i="4"/>
  <c r="J22" i="4"/>
  <c r="J21" i="4"/>
  <c r="J20" i="4"/>
  <c r="J19" i="4"/>
  <c r="J18" i="4"/>
  <c r="J17" i="4"/>
  <c r="J16" i="4"/>
  <c r="J15" i="4"/>
  <c r="C15" i="4"/>
  <c r="H50" i="4" s="1"/>
  <c r="I50" i="4" s="1"/>
  <c r="C12" i="4"/>
  <c r="H41" i="4" s="1"/>
  <c r="I41" i="4" s="1"/>
  <c r="E18" i="3"/>
  <c r="D18" i="3"/>
  <c r="H17" i="3"/>
  <c r="G17" i="3"/>
  <c r="H16" i="3"/>
  <c r="G16" i="3"/>
  <c r="H15" i="3"/>
  <c r="G15" i="3"/>
  <c r="H14" i="3"/>
  <c r="H18" i="3" s="1"/>
  <c r="G14" i="3"/>
  <c r="G18" i="3" s="1"/>
  <c r="E10" i="3"/>
  <c r="D22" i="3" s="1"/>
  <c r="D10" i="3"/>
  <c r="C22" i="3" s="1"/>
  <c r="H9" i="3"/>
  <c r="G9" i="3"/>
  <c r="H8" i="3"/>
  <c r="G8" i="3"/>
  <c r="H7" i="3"/>
  <c r="H10" i="3" s="1"/>
  <c r="D23" i="3" s="1"/>
  <c r="G7" i="3"/>
  <c r="G10" i="3" s="1"/>
  <c r="C23" i="3" s="1"/>
  <c r="E23" i="3" s="1"/>
  <c r="C38" i="15" l="1" a="1"/>
  <c r="C38" i="15" s="1"/>
  <c r="C42" i="15" s="1"/>
  <c r="C52" i="15" s="1"/>
  <c r="I68" i="15" a="1"/>
  <c r="I68" i="15" s="1"/>
  <c r="C82" i="13"/>
  <c r="C81" i="13"/>
  <c r="G64" i="13"/>
  <c r="U9" i="13"/>
  <c r="F64" i="13"/>
  <c r="T9" i="13"/>
  <c r="E64" i="13"/>
  <c r="S9" i="13"/>
  <c r="D64" i="13"/>
  <c r="R9" i="13"/>
  <c r="C63" i="13"/>
  <c r="L61" i="13"/>
  <c r="L63" i="13" s="1"/>
  <c r="K61" i="13"/>
  <c r="K63" i="13"/>
  <c r="J61" i="13"/>
  <c r="J63" i="13" s="1"/>
  <c r="I61" i="13"/>
  <c r="I63" i="13"/>
  <c r="H61" i="13"/>
  <c r="L54" i="13"/>
  <c r="L53" i="13"/>
  <c r="L52" i="13"/>
  <c r="L56" i="13" s="1"/>
  <c r="K53" i="13"/>
  <c r="K54" i="13"/>
  <c r="K52" i="13"/>
  <c r="K56" i="13" s="1"/>
  <c r="J52" i="13"/>
  <c r="J53" i="13"/>
  <c r="J54" i="13"/>
  <c r="J56" i="13"/>
  <c r="I52" i="13"/>
  <c r="I56" i="13" s="1"/>
  <c r="I54" i="13"/>
  <c r="I53" i="13"/>
  <c r="H52" i="13"/>
  <c r="H54" i="13"/>
  <c r="H53" i="13"/>
  <c r="H56" i="13"/>
  <c r="G52" i="13"/>
  <c r="G54" i="13"/>
  <c r="G53" i="13"/>
  <c r="G56" i="13"/>
  <c r="F52" i="13"/>
  <c r="F54" i="13"/>
  <c r="F53" i="13"/>
  <c r="F56" i="13" s="1"/>
  <c r="E52" i="13"/>
  <c r="E53" i="13"/>
  <c r="E56" i="13" s="1"/>
  <c r="E54" i="13"/>
  <c r="D53" i="13"/>
  <c r="D54" i="13"/>
  <c r="D52" i="13"/>
  <c r="D56" i="13" s="1"/>
  <c r="C53" i="13"/>
  <c r="C52" i="13"/>
  <c r="C56" i="13" s="1"/>
  <c r="C54" i="13"/>
  <c r="F71" i="13" s="1"/>
  <c r="L42" i="13"/>
  <c r="L43" i="13"/>
  <c r="L44" i="13"/>
  <c r="L47" i="13" s="1"/>
  <c r="K43" i="13"/>
  <c r="K44" i="13"/>
  <c r="K47" i="13"/>
  <c r="K42" i="13"/>
  <c r="J43" i="13"/>
  <c r="J44" i="13"/>
  <c r="J42" i="13"/>
  <c r="J47" i="13"/>
  <c r="I44" i="13"/>
  <c r="I43" i="13"/>
  <c r="I42" i="13"/>
  <c r="I47" i="13"/>
  <c r="H42" i="13"/>
  <c r="H47" i="13" s="1"/>
  <c r="H43" i="13"/>
  <c r="H44" i="13"/>
  <c r="G42" i="13"/>
  <c r="G43" i="13"/>
  <c r="G47" i="13" s="1"/>
  <c r="G44" i="13"/>
  <c r="F42" i="13"/>
  <c r="F44" i="13"/>
  <c r="F43" i="13"/>
  <c r="F47" i="13" s="1"/>
  <c r="E42" i="13"/>
  <c r="E44" i="13"/>
  <c r="E43" i="13"/>
  <c r="E47" i="13" s="1"/>
  <c r="D44" i="13"/>
  <c r="D42" i="13"/>
  <c r="D43" i="13"/>
  <c r="D47" i="13" s="1"/>
  <c r="C42" i="13"/>
  <c r="C44" i="13"/>
  <c r="C43" i="13"/>
  <c r="C47" i="13" s="1"/>
  <c r="L35" i="13"/>
  <c r="L37" i="13"/>
  <c r="K35" i="13"/>
  <c r="K37" i="13"/>
  <c r="J35" i="13"/>
  <c r="J37" i="13" s="1"/>
  <c r="I35" i="13"/>
  <c r="I37" i="13" s="1"/>
  <c r="H35" i="13"/>
  <c r="H37" i="13" s="1"/>
  <c r="G35" i="13"/>
  <c r="G37" i="13" s="1"/>
  <c r="F35" i="13"/>
  <c r="F37" i="13" s="1"/>
  <c r="E35" i="13"/>
  <c r="E37" i="13" s="1"/>
  <c r="D35" i="13"/>
  <c r="D37" i="13"/>
  <c r="C35" i="13"/>
  <c r="D72" i="13" s="1"/>
  <c r="C37" i="13"/>
  <c r="C40" i="11"/>
  <c r="C41" i="11"/>
  <c r="E55" i="11"/>
  <c r="H56" i="4"/>
  <c r="I56" i="4" s="1"/>
  <c r="C31" i="11"/>
  <c r="E57" i="11" s="1"/>
  <c r="C30" i="11"/>
  <c r="E58" i="11" s="1"/>
  <c r="C15" i="11"/>
  <c r="C13" i="11"/>
  <c r="C14" i="11"/>
  <c r="L10" i="10"/>
  <c r="L26" i="10"/>
  <c r="K10" i="10"/>
  <c r="K26" i="10"/>
  <c r="J10" i="10"/>
  <c r="J26" i="10"/>
  <c r="I10" i="10"/>
  <c r="I26" i="10"/>
  <c r="H10" i="10"/>
  <c r="H26" i="10"/>
  <c r="G10" i="10"/>
  <c r="G26" i="10"/>
  <c r="F10" i="10"/>
  <c r="F26" i="10"/>
  <c r="E26" i="10"/>
  <c r="E10" i="10"/>
  <c r="D26" i="10"/>
  <c r="D10" i="10"/>
  <c r="C26" i="10"/>
  <c r="C10" i="10"/>
  <c r="L10" i="9"/>
  <c r="L25" i="9"/>
  <c r="K10" i="9"/>
  <c r="K25" i="9"/>
  <c r="J25" i="9"/>
  <c r="J10" i="9"/>
  <c r="I25" i="9"/>
  <c r="I10" i="9"/>
  <c r="H25" i="9"/>
  <c r="H10" i="9"/>
  <c r="G25" i="9"/>
  <c r="G10" i="9"/>
  <c r="F10" i="9"/>
  <c r="F25" i="9"/>
  <c r="E25" i="9"/>
  <c r="E10" i="9"/>
  <c r="D10" i="9"/>
  <c r="D25" i="9"/>
  <c r="C25" i="9"/>
  <c r="C10" i="9"/>
  <c r="L27" i="8"/>
  <c r="L22" i="8"/>
  <c r="L23" i="8" s="1"/>
  <c r="L20" i="8"/>
  <c r="K27" i="8"/>
  <c r="K20" i="8"/>
  <c r="K22" i="8"/>
  <c r="K23" i="8" s="1"/>
  <c r="J20" i="8"/>
  <c r="J22" i="8"/>
  <c r="J23" i="8" s="1"/>
  <c r="J27" i="8"/>
  <c r="I27" i="8"/>
  <c r="I20" i="8"/>
  <c r="I22" i="8"/>
  <c r="I23" i="8" s="1"/>
  <c r="H20" i="8"/>
  <c r="H22" i="8"/>
  <c r="H23" i="8" s="1"/>
  <c r="H27" i="8"/>
  <c r="G27" i="8"/>
  <c r="G20" i="8"/>
  <c r="G22" i="8"/>
  <c r="G23" i="8" s="1"/>
  <c r="F20" i="8"/>
  <c r="F22" i="8"/>
  <c r="F23" i="8" s="1"/>
  <c r="F27" i="8"/>
  <c r="E27" i="8"/>
  <c r="E20" i="8"/>
  <c r="E22" i="8"/>
  <c r="E23" i="8" s="1"/>
  <c r="D20" i="8"/>
  <c r="D22" i="8"/>
  <c r="D23" i="8" s="1"/>
  <c r="D27" i="8"/>
  <c r="C27" i="8"/>
  <c r="C20" i="8"/>
  <c r="C22" i="8"/>
  <c r="C23" i="8" s="1"/>
  <c r="E31" i="7"/>
  <c r="E13" i="7"/>
  <c r="E26" i="7" s="1"/>
  <c r="D31" i="7"/>
  <c r="D13" i="7"/>
  <c r="D26" i="7" s="1"/>
  <c r="C31" i="7"/>
  <c r="C13" i="7"/>
  <c r="C26" i="7" s="1"/>
  <c r="L13" i="7"/>
  <c r="L26" i="7" s="1"/>
  <c r="L31" i="7"/>
  <c r="K13" i="7"/>
  <c r="K26" i="7" s="1"/>
  <c r="K31" i="7"/>
  <c r="J13" i="7"/>
  <c r="J26" i="7" s="1"/>
  <c r="J31" i="7"/>
  <c r="I13" i="7"/>
  <c r="I26" i="7" s="1"/>
  <c r="I31" i="7"/>
  <c r="H13" i="7"/>
  <c r="H26" i="7" s="1"/>
  <c r="H31" i="7"/>
  <c r="G13" i="7"/>
  <c r="G26" i="7" s="1"/>
  <c r="G31" i="7"/>
  <c r="F13" i="7"/>
  <c r="F26" i="7" s="1"/>
  <c r="F31" i="7"/>
  <c r="L38" i="6"/>
  <c r="L37" i="6"/>
  <c r="K38" i="6"/>
  <c r="K37" i="6"/>
  <c r="J37" i="6"/>
  <c r="J38" i="6"/>
  <c r="I37" i="6"/>
  <c r="I38" i="6"/>
  <c r="H37" i="6"/>
  <c r="H38" i="6"/>
  <c r="G37" i="6"/>
  <c r="G38" i="6"/>
  <c r="F37" i="6"/>
  <c r="F38" i="6"/>
  <c r="E37" i="6"/>
  <c r="E38" i="6"/>
  <c r="D37" i="6"/>
  <c r="D38" i="6"/>
  <c r="C37" i="6"/>
  <c r="C38" i="6"/>
  <c r="L21" i="6"/>
  <c r="L26" i="6"/>
  <c r="L22" i="6"/>
  <c r="L23" i="6" s="1"/>
  <c r="L41" i="6" s="1"/>
  <c r="L27" i="6"/>
  <c r="L28" i="6"/>
  <c r="L29" i="6"/>
  <c r="L30" i="6"/>
  <c r="K21" i="6"/>
  <c r="K22" i="6"/>
  <c r="K23" i="6"/>
  <c r="K26" i="6"/>
  <c r="K29" i="6"/>
  <c r="K30" i="6"/>
  <c r="K27" i="6"/>
  <c r="K28" i="6"/>
  <c r="J21" i="6"/>
  <c r="J27" i="6"/>
  <c r="J28" i="6"/>
  <c r="J22" i="6"/>
  <c r="J26" i="6"/>
  <c r="J23" i="6"/>
  <c r="J29" i="6"/>
  <c r="J30" i="6"/>
  <c r="I21" i="6"/>
  <c r="I28" i="6"/>
  <c r="I22" i="6"/>
  <c r="I23" i="6"/>
  <c r="I26" i="6"/>
  <c r="I27" i="6"/>
  <c r="I29" i="6"/>
  <c r="I30" i="6"/>
  <c r="H21" i="6"/>
  <c r="H26" i="6"/>
  <c r="H31" i="6" s="1"/>
  <c r="H28" i="6"/>
  <c r="H22" i="6"/>
  <c r="H27" i="6"/>
  <c r="H23" i="6"/>
  <c r="H29" i="6"/>
  <c r="H30" i="6"/>
  <c r="G21" i="6"/>
  <c r="G26" i="6"/>
  <c r="G28" i="6"/>
  <c r="G22" i="6"/>
  <c r="G23" i="6" s="1"/>
  <c r="G27" i="6"/>
  <c r="G29" i="6"/>
  <c r="G30" i="6"/>
  <c r="F21" i="6"/>
  <c r="F26" i="6"/>
  <c r="F28" i="6"/>
  <c r="F22" i="6"/>
  <c r="F23" i="6"/>
  <c r="F27" i="6"/>
  <c r="F29" i="6"/>
  <c r="F30" i="6"/>
  <c r="E21" i="6"/>
  <c r="E22" i="6"/>
  <c r="E23" i="6"/>
  <c r="E41" i="6" s="1"/>
  <c r="E26" i="6"/>
  <c r="E31" i="6" s="1"/>
  <c r="E28" i="6"/>
  <c r="E27" i="6"/>
  <c r="E29" i="6"/>
  <c r="E30" i="6"/>
  <c r="D21" i="6"/>
  <c r="D26" i="6"/>
  <c r="D22" i="6"/>
  <c r="D23" i="6"/>
  <c r="D27" i="6"/>
  <c r="D28" i="6"/>
  <c r="D29" i="6"/>
  <c r="D30" i="6"/>
  <c r="C21" i="6"/>
  <c r="C22" i="6"/>
  <c r="C23" i="6"/>
  <c r="C26" i="6"/>
  <c r="C29" i="6"/>
  <c r="C27" i="6"/>
  <c r="C28" i="6"/>
  <c r="C30" i="6"/>
  <c r="I37" i="5"/>
  <c r="P30" i="5"/>
  <c r="P37" i="5" s="1"/>
  <c r="C26" i="5"/>
  <c r="D13" i="5"/>
  <c r="D24" i="3"/>
  <c r="D25" i="3"/>
  <c r="C24" i="3"/>
  <c r="E22" i="3"/>
  <c r="C25" i="3"/>
  <c r="I42" i="6"/>
  <c r="G42" i="6"/>
  <c r="D42" i="6"/>
  <c r="J42" i="6"/>
  <c r="H42" i="6"/>
  <c r="E42" i="6"/>
  <c r="C58" i="15" l="1" a="1"/>
  <c r="C58" i="15" s="1"/>
  <c r="C59" i="15" s="1"/>
  <c r="G30" i="4" a="1"/>
  <c r="G30" i="4" s="1"/>
  <c r="G35" i="4" a="1"/>
  <c r="G35" i="4" s="1"/>
  <c r="C69" i="15"/>
  <c r="D69" i="15"/>
  <c r="E69" i="15"/>
  <c r="F69" i="15"/>
  <c r="C70" i="15"/>
  <c r="D70" i="15"/>
  <c r="E70" i="15"/>
  <c r="F70" i="15"/>
  <c r="C71" i="15"/>
  <c r="D71" i="15"/>
  <c r="E71" i="15"/>
  <c r="F71" i="15"/>
  <c r="C72" i="15"/>
  <c r="D72" i="15"/>
  <c r="E72" i="15"/>
  <c r="F72" i="15"/>
  <c r="C64" i="13"/>
  <c r="Q9" i="13"/>
  <c r="L64" i="13"/>
  <c r="G73" i="13"/>
  <c r="G74" i="13" s="1"/>
  <c r="Z9" i="13"/>
  <c r="K64" i="13"/>
  <c r="Y9" i="13"/>
  <c r="J64" i="13"/>
  <c r="X9" i="13"/>
  <c r="I64" i="13"/>
  <c r="W9" i="13"/>
  <c r="L57" i="13"/>
  <c r="F73" i="13"/>
  <c r="F74" i="13" s="1"/>
  <c r="M97" i="13" s="1"/>
  <c r="Z8" i="13"/>
  <c r="K57" i="13"/>
  <c r="Y8" i="13"/>
  <c r="J57" i="13"/>
  <c r="X8" i="13"/>
  <c r="I57" i="13"/>
  <c r="W8" i="13"/>
  <c r="H57" i="13"/>
  <c r="V8" i="13"/>
  <c r="G57" i="13"/>
  <c r="U8" i="13"/>
  <c r="F57" i="13"/>
  <c r="T8" i="13"/>
  <c r="E57" i="13"/>
  <c r="S8" i="13"/>
  <c r="D57" i="13"/>
  <c r="R8" i="13"/>
  <c r="C57" i="13"/>
  <c r="Q8" i="13"/>
  <c r="L48" i="13"/>
  <c r="E73" i="13"/>
  <c r="E74" i="13" s="1"/>
  <c r="M96" i="13"/>
  <c r="Z7" i="13"/>
  <c r="K48" i="13"/>
  <c r="Y7" i="13"/>
  <c r="J48" i="13"/>
  <c r="X7" i="13"/>
  <c r="I48" i="13"/>
  <c r="W7" i="13"/>
  <c r="H48" i="13"/>
  <c r="V7" i="13"/>
  <c r="G48" i="13"/>
  <c r="U7" i="13"/>
  <c r="F48" i="13"/>
  <c r="T7" i="13"/>
  <c r="E48" i="13"/>
  <c r="S7" i="13"/>
  <c r="D48" i="13"/>
  <c r="R7" i="13"/>
  <c r="C48" i="13"/>
  <c r="E71" i="13"/>
  <c r="Q7" i="13"/>
  <c r="L38" i="13"/>
  <c r="D73" i="13"/>
  <c r="D74" i="13" s="1"/>
  <c r="M95" i="13"/>
  <c r="Z6" i="13"/>
  <c r="K38" i="13"/>
  <c r="Y6" i="13"/>
  <c r="J38" i="13"/>
  <c r="X6" i="13"/>
  <c r="I38" i="13"/>
  <c r="W6" i="13"/>
  <c r="H38" i="13"/>
  <c r="V6" i="13"/>
  <c r="G38" i="13"/>
  <c r="U6" i="13"/>
  <c r="F38" i="13"/>
  <c r="T6" i="13"/>
  <c r="E38" i="13"/>
  <c r="S6" i="13"/>
  <c r="D38" i="13"/>
  <c r="R6" i="13"/>
  <c r="C38" i="13"/>
  <c r="D71" i="13"/>
  <c r="Q6" i="13"/>
  <c r="D57" i="11"/>
  <c r="F57" i="11"/>
  <c r="F55" i="11"/>
  <c r="H55" i="4"/>
  <c r="I55" i="4" s="1"/>
  <c r="I57" i="4" s="1"/>
  <c r="D58" i="11"/>
  <c r="F58" i="11"/>
  <c r="L11" i="10"/>
  <c r="L14" i="10"/>
  <c r="L16" i="10" s="1"/>
  <c r="K11" i="10"/>
  <c r="K14" i="10"/>
  <c r="K16" i="10" s="1"/>
  <c r="J11" i="10"/>
  <c r="J14" i="10"/>
  <c r="J16" i="10" s="1"/>
  <c r="I11" i="10"/>
  <c r="I14" i="10"/>
  <c r="I16" i="10" s="1"/>
  <c r="H11" i="10"/>
  <c r="H14" i="10"/>
  <c r="H16" i="10" s="1"/>
  <c r="G11" i="10"/>
  <c r="G14" i="10"/>
  <c r="G16" i="10" s="1"/>
  <c r="F11" i="10"/>
  <c r="F14" i="10"/>
  <c r="F16" i="10" s="1"/>
  <c r="E11" i="10"/>
  <c r="E14" i="10"/>
  <c r="E16" i="10" s="1"/>
  <c r="D11" i="10"/>
  <c r="D14" i="10"/>
  <c r="D16" i="10" s="1"/>
  <c r="C11" i="10"/>
  <c r="C14" i="10"/>
  <c r="C16" i="10" s="1"/>
  <c r="L11" i="9"/>
  <c r="L14" i="9"/>
  <c r="L16" i="9" s="1"/>
  <c r="K11" i="9"/>
  <c r="K14" i="9"/>
  <c r="K16" i="9" s="1"/>
  <c r="J11" i="9"/>
  <c r="J14" i="9"/>
  <c r="J16" i="9" s="1"/>
  <c r="I11" i="9"/>
  <c r="I14" i="9"/>
  <c r="I16" i="9" s="1"/>
  <c r="H11" i="9"/>
  <c r="H14" i="9"/>
  <c r="H16" i="9" s="1"/>
  <c r="G11" i="9"/>
  <c r="G14" i="9"/>
  <c r="G16" i="9" s="1"/>
  <c r="F11" i="9"/>
  <c r="F14" i="9"/>
  <c r="F16" i="9" s="1"/>
  <c r="E11" i="9"/>
  <c r="E14" i="9"/>
  <c r="E16" i="9" s="1"/>
  <c r="D11" i="9"/>
  <c r="D14" i="9"/>
  <c r="D16" i="9" s="1"/>
  <c r="C11" i="9"/>
  <c r="C14" i="9"/>
  <c r="C16" i="9" s="1"/>
  <c r="E27" i="7"/>
  <c r="E28" i="7"/>
  <c r="E29" i="7"/>
  <c r="E32" i="7"/>
  <c r="D27" i="7"/>
  <c r="D28" i="7"/>
  <c r="D29" i="7"/>
  <c r="D32" i="7"/>
  <c r="C27" i="7"/>
  <c r="C28" i="7"/>
  <c r="C29" i="7"/>
  <c r="C32" i="7"/>
  <c r="L27" i="7"/>
  <c r="L28" i="7"/>
  <c r="L29" i="7"/>
  <c r="L32" i="7"/>
  <c r="K27" i="7"/>
  <c r="K28" i="7"/>
  <c r="K29" i="7"/>
  <c r="K32" i="7"/>
  <c r="J27" i="7"/>
  <c r="J28" i="7"/>
  <c r="J29" i="7"/>
  <c r="J32" i="7"/>
  <c r="I27" i="7"/>
  <c r="I28" i="7"/>
  <c r="I29" i="7"/>
  <c r="I32" i="7"/>
  <c r="H27" i="7"/>
  <c r="H28" i="7"/>
  <c r="H29" i="7"/>
  <c r="H32" i="7"/>
  <c r="G27" i="7"/>
  <c r="G28" i="7"/>
  <c r="G29" i="7"/>
  <c r="G32" i="7"/>
  <c r="F27" i="7"/>
  <c r="F28" i="7"/>
  <c r="F29" i="7"/>
  <c r="F32" i="7"/>
  <c r="E24" i="3"/>
  <c r="E25" i="3"/>
  <c r="E72" i="13"/>
  <c r="J41" i="6"/>
  <c r="F31" i="6"/>
  <c r="F41" i="6"/>
  <c r="L31" i="6"/>
  <c r="K41" i="6"/>
  <c r="K31" i="6"/>
  <c r="J31" i="6"/>
  <c r="I41" i="6"/>
  <c r="I31" i="6"/>
  <c r="G31" i="6"/>
  <c r="D31" i="6"/>
  <c r="D41" i="6"/>
  <c r="C31" i="6"/>
  <c r="F72" i="13"/>
  <c r="H63" i="13"/>
  <c r="G71" i="13" s="1"/>
  <c r="G72" i="13"/>
  <c r="H41" i="6"/>
  <c r="G41" i="6"/>
  <c r="G77" i="13" l="1"/>
  <c r="G78" i="13"/>
  <c r="G79" i="13"/>
  <c r="F77" i="13"/>
  <c r="F78" i="13"/>
  <c r="F79" i="13"/>
  <c r="E77" i="13"/>
  <c r="E78" i="13"/>
  <c r="E79" i="13"/>
  <c r="D79" i="13"/>
  <c r="D78" i="13"/>
  <c r="D77" i="13"/>
  <c r="L17" i="10"/>
  <c r="L18" i="10" s="1"/>
  <c r="L21" i="10" s="1"/>
  <c r="L28" i="10" s="1"/>
  <c r="K17" i="10"/>
  <c r="K18" i="10" s="1"/>
  <c r="K21" i="10" s="1"/>
  <c r="K28" i="10" s="1"/>
  <c r="J17" i="10"/>
  <c r="J18" i="10" s="1"/>
  <c r="J21" i="10" s="1"/>
  <c r="J28" i="10" s="1"/>
  <c r="I17" i="10"/>
  <c r="I18" i="10" s="1"/>
  <c r="I21" i="10" s="1"/>
  <c r="I28" i="10" s="1"/>
  <c r="H17" i="10"/>
  <c r="H18" i="10"/>
  <c r="H21" i="10" s="1"/>
  <c r="H28" i="10" s="1"/>
  <c r="G17" i="10"/>
  <c r="G18" i="10"/>
  <c r="G21" i="10" s="1"/>
  <c r="G28" i="10" s="1"/>
  <c r="F17" i="10"/>
  <c r="F18" i="10"/>
  <c r="F21" i="10" s="1"/>
  <c r="F28" i="10" s="1"/>
  <c r="E17" i="10"/>
  <c r="E18" i="10"/>
  <c r="E21" i="10" s="1"/>
  <c r="E28" i="10" s="1"/>
  <c r="D17" i="10"/>
  <c r="D18" i="10" s="1"/>
  <c r="D21" i="10" s="1"/>
  <c r="D28" i="10" s="1"/>
  <c r="C17" i="10"/>
  <c r="C18" i="10" s="1"/>
  <c r="C21" i="10" s="1"/>
  <c r="C28" i="10" s="1"/>
  <c r="C29" i="10" s="1"/>
  <c r="D29" i="10" s="1"/>
  <c r="E29" i="10" s="1"/>
  <c r="F29" i="10" s="1"/>
  <c r="G29" i="10" s="1"/>
  <c r="H29" i="10" s="1"/>
  <c r="I29" i="10" s="1"/>
  <c r="L17" i="9"/>
  <c r="L18" i="9" s="1"/>
  <c r="L21" i="9" s="1"/>
  <c r="L27" i="9" s="1"/>
  <c r="K17" i="9"/>
  <c r="K18" i="9"/>
  <c r="K21" i="9" s="1"/>
  <c r="K27" i="9" s="1"/>
  <c r="J17" i="9"/>
  <c r="J18" i="9" s="1"/>
  <c r="J21" i="9" s="1"/>
  <c r="J27" i="9" s="1"/>
  <c r="I17" i="9"/>
  <c r="I18" i="9"/>
  <c r="I21" i="9" s="1"/>
  <c r="I27" i="9" s="1"/>
  <c r="H17" i="9"/>
  <c r="H18" i="9" s="1"/>
  <c r="H21" i="9" s="1"/>
  <c r="H27" i="9" s="1"/>
  <c r="G17" i="9"/>
  <c r="G18" i="9" s="1"/>
  <c r="G21" i="9" s="1"/>
  <c r="G27" i="9" s="1"/>
  <c r="F17" i="9"/>
  <c r="F18" i="9"/>
  <c r="F21" i="9" s="1"/>
  <c r="F27" i="9" s="1"/>
  <c r="E17" i="9"/>
  <c r="E18" i="9" s="1"/>
  <c r="E21" i="9" s="1"/>
  <c r="E27" i="9" s="1"/>
  <c r="D17" i="9"/>
  <c r="D18" i="9" s="1"/>
  <c r="D21" i="9" s="1"/>
  <c r="D27" i="9" s="1"/>
  <c r="D28" i="9" s="1"/>
  <c r="E28" i="9" s="1"/>
  <c r="F28" i="9" s="1"/>
  <c r="G28" i="9" s="1"/>
  <c r="C17" i="9"/>
  <c r="C18" i="9"/>
  <c r="C21" i="9" s="1"/>
  <c r="C27" i="9" s="1"/>
  <c r="C28" i="9" s="1"/>
  <c r="V9" i="13"/>
  <c r="H64" i="13"/>
  <c r="G80" i="13" l="1"/>
  <c r="G81" i="13"/>
  <c r="F80" i="13"/>
  <c r="F82" i="13"/>
  <c r="F81" i="13"/>
  <c r="E81" i="13"/>
  <c r="E82" i="13"/>
  <c r="E80" i="13"/>
  <c r="D80" i="13"/>
  <c r="D81" i="13"/>
  <c r="D82" i="13"/>
  <c r="J29" i="10"/>
  <c r="K29" i="10" s="1"/>
  <c r="L29" i="10" s="1"/>
  <c r="H28" i="9"/>
  <c r="I28" i="9" s="1"/>
  <c r="J28" i="9" s="1"/>
  <c r="K28" i="9" s="1"/>
  <c r="L28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<sst xmlns="http://schemas.openxmlformats.org/spreadsheetml/2006/main" count="2638" uniqueCount="1875">
  <si>
    <t>INVESTMENT COMMITTEE MEMORANDUM</t>
  </si>
  <si>
    <t>V3 Grand Madurai - 4-Star Boutique Business Hotel</t>
  </si>
  <si>
    <t>Chinthamani Ring Road, Madurai | ₹43 Crore Investment | February 2026</t>
  </si>
  <si>
    <t>RECOMMENDATION</t>
  </si>
  <si>
    <t>⚠️ CONDITIONAL APPROVAL - Subject to Risk Mitigation &amp; Lite Alternative Review</t>
  </si>
  <si>
    <t>⚠️ MINIMAL IRR MARGIN</t>
  </si>
  <si>
    <t>HIGH</t>
  </si>
  <si>
    <t>IRR 17.8% vs 17.5% hurdle = 0.3 pp. Any variance fails hurdle. Requires: Strict cost controls, daily revenue mgmt, consider 3-star Lite.</t>
  </si>
  <si>
    <t>⚠️ OCCUPANCY RAMP RISK</t>
  </si>
  <si>
    <t>Model assumes 40% Y1, 60% Y2. New hotel may achieve only 25-35% Y1, extending payback &gt;10 years. Requires: Pre-opening sales, anchor contracts.</t>
  </si>
  <si>
    <t>⚠️ AMENITY-DEMAND MISMATCH</t>
  </si>
  <si>
    <t>MEDIUM-HIGH</t>
  </si>
  <si>
    <t>4-star amenities may exceed Madurai willingness-to-pay. Requires: Market validation, consider 3-star Lite (₹28-30 Cr CAPEX, better fit).</t>
  </si>
  <si>
    <t>Risk Rating</t>
  </si>
  <si>
    <t>HIGH - Minimal IRR Margin (0.3 pp over hurdle)</t>
  </si>
  <si>
    <t>⚠️ CRITICAL: MODEL RESTRUCTURED WITH REALISTIC ASSUMPTIONS</t>
  </si>
  <si>
    <t>Metric</t>
  </si>
  <si>
    <t>Original Model</t>
  </si>
  <si>
    <t>Restructured Model</t>
  </si>
  <si>
    <t>Impact</t>
  </si>
  <si>
    <t>Hurdle Rate</t>
  </si>
  <si>
    <t>17.5%</t>
  </si>
  <si>
    <t>+5.5 pp (proper WACC)</t>
  </si>
  <si>
    <t>Year 1 Occupancy</t>
  </si>
  <si>
    <t>65%</t>
  </si>
  <si>
    <t>40%</t>
  </si>
  <si>
    <t>-25 pp (realistic ramp)</t>
  </si>
  <si>
    <t>NPV @ Hurdle</t>
  </si>
  <si>
    <t>₹0.69 Cr</t>
  </si>
  <si>
    <t>-95.7% collapse</t>
  </si>
  <si>
    <t>IRR Margin</t>
  </si>
  <si>
    <t>5.8 pp over hurdle</t>
  </si>
  <si>
    <t>0.3 pp over hurdle</t>
  </si>
  <si>
    <t>No safety margin</t>
  </si>
  <si>
    <t>⚠️ PROJECT NOW MARGINALLY VIABLE: IRR 17.8% vs 17.5% hurdle = 0.3 pp margin. Any adverse variance will fail hurdle.</t>
  </si>
  <si>
    <t>KEY INVESTMENT METRICS</t>
  </si>
  <si>
    <t>Total Investment</t>
  </si>
  <si>
    <t>₹43.0 Crore</t>
  </si>
  <si>
    <t>Expected IRR (Base)</t>
  </si>
  <si>
    <t>17.8%</t>
  </si>
  <si>
    <t xml:space="preserve">  • Phase 1 (55 keys)</t>
  </si>
  <si>
    <t>₹35.7 Cr</t>
  </si>
  <si>
    <t>NPV @ 17.5%</t>
  </si>
  <si>
    <t xml:space="preserve">  • Phase 2 (+17 keys)</t>
  </si>
  <si>
    <t>₹7.3 Cr</t>
  </si>
  <si>
    <t>Payback Period</t>
  </si>
  <si>
    <t>9.2 years</t>
  </si>
  <si>
    <t>Equity:Debt Ratio</t>
  </si>
  <si>
    <t>60:40</t>
  </si>
  <si>
    <t>Return Multiple</t>
  </si>
  <si>
    <t>2.71x</t>
  </si>
  <si>
    <t>Project Timeline</t>
  </si>
  <si>
    <t>28 months to Phase 1 opening</t>
  </si>
  <si>
    <t>Exit Value (Yr 10)</t>
  </si>
  <si>
    <t>₹98.5 Cr @ 12x EBITDA</t>
  </si>
  <si>
    <t>CAPITAL STRUCTURE OPTIONS</t>
  </si>
  <si>
    <t>Financing Option</t>
  </si>
  <si>
    <t>Debt Amount</t>
  </si>
  <si>
    <t>Equity Required</t>
  </si>
  <si>
    <t>IRR</t>
  </si>
  <si>
    <t>Risk Level</t>
  </si>
  <si>
    <t>Recommendation</t>
  </si>
  <si>
    <t>40% Debt (Current)</t>
  </si>
  <si>
    <t>₹17.2 Cr</t>
  </si>
  <si>
    <t>₹25.8 Cr</t>
  </si>
  <si>
    <t>₹0.92 Cr</t>
  </si>
  <si>
    <t>Moderate</t>
  </si>
  <si>
    <t>⚠️ Marginal viability</t>
  </si>
  <si>
    <t>30% Debt (Recommended)</t>
  </si>
  <si>
    <t>₹12.9 Cr</t>
  </si>
  <si>
    <t>₹30.1 Cr</t>
  </si>
  <si>
    <t>₹0.75 Cr</t>
  </si>
  <si>
    <t>Low-Moderate</t>
  </si>
  <si>
    <t>✅ BALANCED RISK/RETURN</t>
  </si>
  <si>
    <t>20% Debt (Conservative)</t>
  </si>
  <si>
    <t>₹8.6 Cr</t>
  </si>
  <si>
    <t>₹34.4 Cr</t>
  </si>
  <si>
    <t>₹0.58 Cr</t>
  </si>
  <si>
    <t>Low</t>
  </si>
  <si>
    <t>Minimum risk</t>
  </si>
  <si>
    <t>Board Recommendation: 30% Debt Structure offers optimal balance with IRR of 20.1% (8.1% above hurdle) while improving debt service coverage to 2.8x and requiring only ₹4.3 Cr additional equity vs current structure.</t>
  </si>
  <si>
    <t>INVESTMENT HIGHLIGHTS</t>
  </si>
  <si>
    <t>• Strategic Location</t>
  </si>
  <si>
    <t xml:space="preserve">  Adjacent to 3 major hospitals (1,100+ beds), no competing 4-star hotels within 5km radius, medical tourism hub</t>
  </si>
  <si>
    <t>• Strong Anchor Partnerships</t>
  </si>
  <si>
    <t xml:space="preserve">  Confirmed MOUs delivering 13% occupancy floor from day one (Vikram Hospital, Hannah Joseph Hospital, Aravind Eye)</t>
  </si>
  <si>
    <t>• Robust Financial Returns</t>
  </si>
  <si>
    <t>• Phased Growth Strategy</t>
  </si>
  <si>
    <t xml:space="preserve">  55 keys in Phase 1 de-risks execution, Phase 2 (+17 keys) triggered only after 8-point validation at Month 36</t>
  </si>
  <si>
    <t>• Owner-Operator Model</t>
  </si>
  <si>
    <t xml:space="preserve">  No franchise fees (saves ₹0.3-1.8 Cr/year), full operational control, 40.4% EBITDA margin vs 27-35% with brands</t>
  </si>
  <si>
    <t>KEY RISKS &amp; MITIGATIONS</t>
  </si>
  <si>
    <t>Risk</t>
  </si>
  <si>
    <t>Mitigation</t>
  </si>
  <si>
    <t>Market/Demand</t>
  </si>
  <si>
    <t>High</t>
  </si>
  <si>
    <t>Anchor MOUs provide 13% occupancy floor, diversified demand sources (medical + corporate + leisure)</t>
  </si>
  <si>
    <t>Competition</t>
  </si>
  <si>
    <t>Medium</t>
  </si>
  <si>
    <t>No 4-star supply within 5km, established relationships before new entrants arrive</t>
  </si>
  <si>
    <t>Construction Delay</t>
  </si>
  <si>
    <t>Experienced contractor, 8% contingency buffer, phased approach allows learning</t>
  </si>
  <si>
    <t>Cost Overrun</t>
  </si>
  <si>
    <t>Fixed-price contracts for 70% of CAPEX, 8% contingency reserve (₹3.4 Cr)</t>
  </si>
  <si>
    <t>Phase 2 Execution</t>
  </si>
  <si>
    <t>8-point decision gate at Month 36, Phase 2 standalone IRR 22%, can optimize at Phase 1 if needed</t>
  </si>
  <si>
    <t>SCENARIO ANALYSIS</t>
  </si>
  <si>
    <t>Scenario</t>
  </si>
  <si>
    <t>Probability</t>
  </si>
  <si>
    <t>NPV (₹ Cr)</t>
  </si>
  <si>
    <t>Payback</t>
  </si>
  <si>
    <t>Key Assumption</t>
  </si>
  <si>
    <t>Bear Case</t>
  </si>
  <si>
    <t>20%</t>
  </si>
  <si>
    <t>14.3%</t>
  </si>
  <si>
    <t>₹7.1</t>
  </si>
  <si>
    <t>9.2 yrs</t>
  </si>
  <si>
    <t>63% occupancy, Phase 2 not triggered</t>
  </si>
  <si>
    <t>Base Case</t>
  </si>
  <si>
    <t>60%</t>
  </si>
  <si>
    <t>7.8 yrs</t>
  </si>
  <si>
    <t>78% occupancy, Phase 2 at Month 43</t>
  </si>
  <si>
    <t>Bull Case</t>
  </si>
  <si>
    <t>22.9%</t>
  </si>
  <si>
    <t>₹27.8</t>
  </si>
  <si>
    <t>6.4 yrs</t>
  </si>
  <si>
    <t>82% occupancy, strong corporate demand</t>
  </si>
  <si>
    <t>Expected (Wtd.)</t>
  </si>
  <si>
    <t>100%</t>
  </si>
  <si>
    <t>18.3%</t>
  </si>
  <si>
    <t>₹16.9</t>
  </si>
  <si>
    <t>7.7 yrs</t>
  </si>
  <si>
    <t>Probability-weighted average</t>
  </si>
  <si>
    <t>COMPREHENSIVE RISK DISCLOSURE &amp; MITIGATION STRATEGIES</t>
  </si>
  <si>
    <t>1. OCCUPANCY RAMP-UP RISK</t>
  </si>
  <si>
    <t>Risk Level:</t>
  </si>
  <si>
    <t>Description:</t>
  </si>
  <si>
    <t>Model assumes 40% Year 1 occupancy. Actual hotel ramps in Tier-II cities average 25-35% Y1. Lower occupancy extends payback from 9.2 years to 11+ years and pushes NPV negative.</t>
  </si>
  <si>
    <t>Financial Impact:</t>
  </si>
  <si>
    <t>Each 5 pp occupancy shortfall reduces Year 1 revenue by ₹0.92 Cr and NPV by ₹1.2-1.5 Cr</t>
  </si>
  <si>
    <t>Mitigation Strategies:</t>
  </si>
  <si>
    <t>• Pre-opening sales: Secure 60-70% MOU coverage (medical anchors, corporate contracts) before launch</t>
  </si>
  <si>
    <t>• Phased staffing: Defer 25% of hires until Month 3 based on booking trends</t>
  </si>
  <si>
    <t>• Dynamic pricing: Implement aggressive promotional ADR (₹2,800-3,200) for first 90 days</t>
  </si>
  <si>
    <t>• OTA visibility: Pre-launch listings on 8+ platforms with introductory discounts</t>
  </si>
  <si>
    <t>2. AMENITY-DEMAND MISMATCH RISK</t>
  </si>
  <si>
    <t>4-star amenities may exceed Madurai market willingness-to-pay. Guest surveys show ₹3,200-3,800 ADR preference vs. model's ₹5,000 stabilized ADR. Under-utilization of premium amenities reduces EBITDA margin.</t>
  </si>
  <si>
    <t>ADR 10% below assumption (₹4,500 vs ₹5,000) reduces stabilized EBITDA by ₹1.8 Cr/year and IRR from 17.8% to 15.2% (fails hurdle)</t>
  </si>
  <si>
    <t>• Market validation: 8-week survey of 50+ corporates and 200+ medical tourists on ADR acceptance</t>
  </si>
  <si>
    <t>• 3-Star Lite Alternative: Pivot to ₹29.5 Cr CAPEX model with ₹3,500 ADR, 19.2% IRR, ₹4.8 Cr NPV (see Sheet 16)</t>
  </si>
  <si>
    <t>• Modular design: Specify interiors allowing future upgrade (standard fixtures now, luxury retrofit Year 3-5)</t>
  </si>
  <si>
    <t>• F&amp;B rationalization: Start with bistro/café (vs full restaurant), expand only if demand justifies</t>
  </si>
  <si>
    <t>3. TIER-II EXECUTION &amp; OPERATIONAL RISK</t>
  </si>
  <si>
    <t>MEDIUM</t>
  </si>
  <si>
    <t>Limited availability of experienced hotel management talent in Madurai. Construction cost overruns and delays common in Tier-II cities. Owner-operator model assumes hands-on involvement; absence of professional GM adds execution risk.</t>
  </si>
  <si>
    <t>6-month construction delay costs ₹0.5 Cr in holding costs and defers revenue. Poor GM execution could depress occupancy by 10-15 pp in Year 1-2</t>
  </si>
  <si>
    <t>• Contractor vetting: Pre-qualify 3+ civil contractors with proven Tier-II hotel experience; fixed-price turnkey contract</t>
  </si>
  <si>
    <t>• 8% contingency buffer built into CAPEX (₹3.4 Cr) for cost overruns</t>
  </si>
  <si>
    <t>• Owner training: 6-month hospitality management program (IHM or AHLEI certification) before launch</t>
  </si>
  <si>
    <t>• Consultant support: Engage hotel opening specialist (₹8-12 L fee) for Month -3 to Month +6</t>
  </si>
  <si>
    <t>• Backup plan: If owner-operator model fails, pivot to Lemon Tree franchise (IRR ~11.9% vs 15.7% independent)</t>
  </si>
  <si>
    <t>4. WACC &amp; DISCOUNT RATE RISK</t>
  </si>
  <si>
    <t>Model uses 17.5% WACC hurdle (vs prior optimistic 12%). IRR of 17.8% provides only 0.3 pp safety margin. If risk-free rate increases 50 bps or project risk premium rises, WACC could exceed 18%, causing project to fail hurdle.</t>
  </si>
  <si>
    <t>WACC increase to 18.5% pushes NPV to ₹-1.8 Cr (negative). Pre-tax debt cost increase from 11.5% to 12.5% reduces IRR by ~0.8 pp to 17.0%</t>
  </si>
  <si>
    <t>• Interest rate hedge: Lock in 11.5% rate with lender for first 5 years (vs floating MCLR+300 bps)</t>
  </si>
  <si>
    <t>• Debt structure: Target 30% debt (vs 40%) to reduce interest burden; improves DSCR from 2.0× to 2.8×</t>
  </si>
  <si>
    <t>• IRR improvement levers: Focus on occupancy outperformance (each 2 pp above 78% adds ~0.5 pp to IRR)</t>
  </si>
  <si>
    <t>• Lite alternative: 3-star model delivers 19.2% IRR with 1.7 pp buffer above 17.5% hurdle</t>
  </si>
  <si>
    <t>5. COMPETITIVE ENTRY RISK</t>
  </si>
  <si>
    <t>MEDIUM-LOW</t>
  </si>
  <si>
    <t>No existing 4-star hotels within 5 km of site (competitive moat). However, Residency Tower could upgrade, or new branded entrants could enter if medical corridor development accelerates. Loss of first-mover advantage could compress ADR and occupancy.</t>
  </si>
  <si>
    <t>New 4-star competitor within 18 months could depress stabilized occupancy by 8-12 pp and ADR by ₹500-800, reducing IRR to 13-15% range</t>
  </si>
  <si>
    <t>• Speed to market: Fast-track construction to achieve Month 28 launch and capture 24-month first-mover window</t>
  </si>
  <si>
    <t>• Anchor lock-in: 3-year MOUs with hospitals and corporates (pre-emptive contracts before competitor launch)</t>
  </si>
  <si>
    <t>• Reputation moat: Target 4.5+ OTA rating by Month 12 to build brand loyalty and referrals</t>
  </si>
  <si>
    <t>• Phase 2 gate: Hold Phase 2 decision until Month 36 to assess competitive landscape before expanding</t>
  </si>
  <si>
    <t>RISK SUMMARY MATRIX</t>
  </si>
  <si>
    <t>Risk Category</t>
  </si>
  <si>
    <t>NPV Impact Range</t>
  </si>
  <si>
    <t>Mitigation Cost</t>
  </si>
  <si>
    <t>Net Risk Rating</t>
  </si>
  <si>
    <t>Occupancy Ramp</t>
  </si>
  <si>
    <t>₹-1.2 to -3.5 Cr</t>
  </si>
  <si>
    <t>₹0.4 Cr</t>
  </si>
  <si>
    <t>Amenity-Demand</t>
  </si>
  <si>
    <t>MED-HIGH</t>
  </si>
  <si>
    <t>₹-0.7 to -8.2 Cr</t>
  </si>
  <si>
    <t>₹0.2 Cr</t>
  </si>
  <si>
    <t>Tier-II Execution</t>
  </si>
  <si>
    <t>₹-0.5 to -2.0 Cr</t>
  </si>
  <si>
    <t>₹0.3 Cr</t>
  </si>
  <si>
    <t>LOW-MEDIUM</t>
  </si>
  <si>
    <t>WACC Sensitivity</t>
  </si>
  <si>
    <t>₹-2.5 to -4.0 Cr</t>
  </si>
  <si>
    <t>₹0.1 Cr</t>
  </si>
  <si>
    <t>MED-LOW</t>
  </si>
  <si>
    <t>₹-1.0 to -2.5 Cr</t>
  </si>
  <si>
    <t>₹0 Cr</t>
  </si>
  <si>
    <t>LOW</t>
  </si>
  <si>
    <t>OVERALL RISK ASSESSMENT</t>
  </si>
  <si>
    <t>Overall Risk Profile:</t>
  </si>
  <si>
    <t>HIGH (Pre-Mitigation) → MEDIUM (Post-Mitigation)</t>
  </si>
  <si>
    <t>Total Mitigation Investment:</t>
  </si>
  <si>
    <t>₹1.0 Cr (2.3% of project cost)</t>
  </si>
  <si>
    <t>Board Recommendation:</t>
  </si>
  <si>
    <t>Implement all 5 mitigation strategies as mandatory conditions for approval. Consider Lite alternative as primary option given stronger risk profile (19.2% IRR, ₹4.8 Cr NPV, 1.7 pp safety margin above hurdle).</t>
  </si>
  <si>
    <t>BOARD HURDLE CRITERIA (UPDATED TO 17.5% HURDLE)</t>
  </si>
  <si>
    <t>Criterion</t>
  </si>
  <si>
    <t>Hurdle</t>
  </si>
  <si>
    <t>Actual</t>
  </si>
  <si>
    <t>Status</t>
  </si>
  <si>
    <t>IRR &gt; 12%</t>
  </si>
  <si>
    <t>✅ PASS</t>
  </si>
  <si>
    <t>NPV &gt; ₹0</t>
  </si>
  <si>
    <t>₹0</t>
  </si>
  <si>
    <t>Bear IRR &gt; 12%</t>
  </si>
  <si>
    <t>Payback &lt; 10 years</t>
  </si>
  <si>
    <t>10 yrs</t>
  </si>
  <si>
    <t>Return Multiple &gt; 2x</t>
  </si>
  <si>
    <t>2.0x</t>
  </si>
  <si>
    <t>EBITDA Margin &gt; 35%</t>
  </si>
  <si>
    <t>35%</t>
  </si>
  <si>
    <t>40.4%</t>
  </si>
  <si>
    <t>OVERALL RESULT</t>
  </si>
  <si>
    <t>3/6 CRITERIA MET - ⚠️ CONDITIONAL APPROVAL ONLY</t>
  </si>
  <si>
    <t>NEXT STEPS &amp; TIMELINE</t>
  </si>
  <si>
    <t>1. Board Approval</t>
  </si>
  <si>
    <t>Target: March 2026</t>
  </si>
  <si>
    <t>2. Final Due Diligence</t>
  </si>
  <si>
    <t>Complete legal, environmental, and regulatory checks (4 weeks)</t>
  </si>
  <si>
    <t>3. Debt Documentation</t>
  </si>
  <si>
    <t>Close ₹17.2 Cr debt facility with banks (6 weeks)</t>
  </si>
  <si>
    <t>4. Construction Commencement</t>
  </si>
  <si>
    <t>Ground-breaking Month 0, Phase 1 opening Month 28</t>
  </si>
  <si>
    <t>Prepared by: Investment Committee | Date: February 2026</t>
  </si>
  <si>
    <t>Supporting Materials: 13-sheet detailed financial model available for review</t>
  </si>
  <si>
    <t>CONFIDENTIAL - For Board Review Only | Not for External Distribution</t>
  </si>
  <si>
    <t>⚠️ REVISED BOARD RECOMMENDATION: Project meets MINIMUM hurdle criteria but with NO SAFETY MARGIN (IRR 17.8% vs 17.5% hurdle). Board options: (A) CONDITIONAL APPROVAL with enhanced risk controls + phased capital deployment, OR (B) DEFER pending 3-star 'Lite' alternative analysis (₹12-15 Cr lower CAPEX, higher occupancy potential 70-75%, better market fit). Management recommends Option B - conduct Lite feasibility before final decision.</t>
  </si>
  <si>
    <t>REVISED NEXT STEPS:</t>
  </si>
  <si>
    <t>Step 1:</t>
  </si>
  <si>
    <t>Board Review - Present restructured model + 3-star Lite comparison (Week 1-2)</t>
  </si>
  <si>
    <t>Step 2:</t>
  </si>
  <si>
    <t>Market Validation - ADR/amenity demand study in Madurai (Week 3-6)</t>
  </si>
  <si>
    <t>Step 3:</t>
  </si>
  <si>
    <t>Decision Gate - CONDITIONAL APPROVE with controls OR DEFER pending Lite analysis (Week 7-8)</t>
  </si>
  <si>
    <t>Step 4:</t>
  </si>
  <si>
    <t>IF APPROVED - Equity mobilization + debt documentation (Week 9-18)</t>
  </si>
  <si>
    <t>V3 GRAND MADURAI | Investment Committee Presentation | Base Case Analysis</t>
  </si>
  <si>
    <t>Prepared: 24 February 2026</t>
  </si>
  <si>
    <t>V3 GRAND MADURAI</t>
  </si>
  <si>
    <t>Investment Committee</t>
  </si>
  <si>
    <t>Presentation</t>
  </si>
  <si>
    <t>Executive Summary  ·  Investment Committee Presentation  ·  4-Star Boutique Business Hotel  ·  Chinthamani Ring Road, Madurai</t>
  </si>
  <si>
    <t>Giritharan Chockalingam</t>
  </si>
  <si>
    <t>⚠️ RESTRUCTURED MODEL: Base Case · Phased Mode · MARGINAL RETURNS (17.8% IRR vs 17.5% hurdle)</t>
  </si>
  <si>
    <t>INVESTMENT COMMITTEE SCORECARD</t>
  </si>
  <si>
    <t>TOTAL INVESTMENT</t>
  </si>
  <si>
    <t>EXPECTED IRR</t>
  </si>
  <si>
    <t>NPV @ 12%</t>
  </si>
  <si>
    <t>PAYBACK</t>
  </si>
  <si>
    <t>RETURN MULTIPLE</t>
  </si>
  <si>
    <t>₹15.9 Crore</t>
  </si>
  <si>
    <t>7.8 Years</t>
  </si>
  <si>
    <t>Overall Recommendation:</t>
  </si>
  <si>
    <t>✅ STRONG BUY</t>
  </si>
  <si>
    <t>P1: ₹35.7 Cr  ·  P2: ₹7.3 Cr</t>
  </si>
  <si>
    <t>Prob.-weighted  |  Hurdle: 12%</t>
  </si>
  <si>
    <t>Phased, discounted @ 12%</t>
  </si>
  <si>
    <t>Cumulative FCF positive</t>
  </si>
  <si>
    <t>10-yr exit at 12x EBITDA</t>
  </si>
  <si>
    <t>Risk Rating:</t>
  </si>
  <si>
    <t>MODERATE</t>
  </si>
  <si>
    <t>BOARD HURDLE CRITERIA</t>
  </si>
  <si>
    <t>⚠️ CONDITIONAL APPROVAL</t>
  </si>
  <si>
    <t>Investment Priority:</t>
  </si>
  <si>
    <t>Tier 1 - Immediate Approval</t>
  </si>
  <si>
    <t>IRR &gt; 17.5% (Proper WACC Hurdle)</t>
  </si>
  <si>
    <t>⚠️ MARGINAL (9.2 yrs, close to limit)</t>
  </si>
  <si>
    <t>PASS</t>
  </si>
  <si>
    <t>✅ PASS (₹0.69 Cr, barely positive)</t>
  </si>
  <si>
    <t>₹15.9 Cr</t>
  </si>
  <si>
    <t>Return Multiple &gt; 2.0x</t>
  </si>
  <si>
    <t>Value</t>
  </si>
  <si>
    <t>Bear IRR &gt; 17.5%</t>
  </si>
  <si>
    <t>❌ FAIL (Bear 14.3% &lt; 17.5%)</t>
  </si>
  <si>
    <t>HIGH - Minimal IRR Margin</t>
  </si>
  <si>
    <t>IRR vs Hurdle</t>
  </si>
  <si>
    <t>✅</t>
  </si>
  <si>
    <t>17.8% vs 12.0%</t>
  </si>
  <si>
    <t>Tier 2 - Conditional/Defer</t>
  </si>
  <si>
    <t>NPV Creation</t>
  </si>
  <si>
    <t>₹15.9 Cr positive</t>
  </si>
  <si>
    <t>7.8 years</t>
  </si>
  <si>
    <t>Bear Case (20%)</t>
  </si>
  <si>
    <t>Base Case (60%)</t>
  </si>
  <si>
    <t>Bull Case (20%)</t>
  </si>
  <si>
    <t>⚠️ CRITICAL MODEL CHANGES &amp; RISKS</t>
  </si>
  <si>
    <t>Risk Factor</t>
  </si>
  <si>
    <t>1. Minimal IRR Margin</t>
  </si>
  <si>
    <t>IRR 17.8% vs 17.5% hurdle = 0.3 pp margin only. Any adverse variance fails hurdle.</t>
  </si>
  <si>
    <t>2. NPV Collapse</t>
  </si>
  <si>
    <t>NPV @ proper hurdle dropped from ₹15.9 Cr to ₹0.69 Cr (-95.7%). Marginal value creation.</t>
  </si>
  <si>
    <t>3. Extended Payback</t>
  </si>
  <si>
    <t>Payback now 9.2 years (was 7.8 yrs) due to realistic 40% Y1 occupancy assumption.</t>
  </si>
  <si>
    <t>4. Occupancy Risk</t>
  </si>
  <si>
    <t>40% Y1 occupancy assumption still optimistic. Actuals may be 25-35%, extending payback further.</t>
  </si>
  <si>
    <t>5. Amenity-Demand Mismatch</t>
  </si>
  <si>
    <t>4-star amenities may exceed local WTP. Market validation critical before proceeding.</t>
  </si>
  <si>
    <t>IRR (10-Year)</t>
  </si>
  <si>
    <t>Bear Case IRR</t>
  </si>
  <si>
    <t>14.3% (above hurdle)</t>
  </si>
  <si>
    <t>₹7.1 Cr</t>
  </si>
  <si>
    <t>₹27.8 Cr</t>
  </si>
  <si>
    <t>₹16.9 Cr</t>
  </si>
  <si>
    <t>EBITDA Margin</t>
  </si>
  <si>
    <t>6.4 years</t>
  </si>
  <si>
    <t>7.7 years</t>
  </si>
  <si>
    <t>Anchor Coverage</t>
  </si>
  <si>
    <t>13% occupancy floor</t>
  </si>
  <si>
    <t>2.1x</t>
  </si>
  <si>
    <t>3.4x</t>
  </si>
  <si>
    <t>2.74x</t>
  </si>
  <si>
    <t>Exit Strategy</t>
  </si>
  <si>
    <t>12x EBITDA (₹98.5 Cr)</t>
  </si>
  <si>
    <t>Phase 2 Triggered?</t>
  </si>
  <si>
    <t>No</t>
  </si>
  <si>
    <t>Yes</t>
  </si>
  <si>
    <t>—</t>
  </si>
  <si>
    <t>KEY RISK ASSESSMENT</t>
  </si>
  <si>
    <t>10-YEAR PROJECTION  ·  Base Case, Phased Expansion</t>
  </si>
  <si>
    <t>₹ Crore</t>
  </si>
  <si>
    <t>Year 1</t>
  </si>
  <si>
    <t>Year 2</t>
  </si>
  <si>
    <t>Year 3</t>
  </si>
  <si>
    <t>Year 5</t>
  </si>
  <si>
    <t>Year 7</t>
  </si>
  <si>
    <t>Year 10</t>
  </si>
  <si>
    <t>Likelihood</t>
  </si>
  <si>
    <t>Revenue</t>
  </si>
  <si>
    <t>₹7.33</t>
  </si>
  <si>
    <t>₹8.73</t>
  </si>
  <si>
    <t>₹10.02</t>
  </si>
  <si>
    <t>₹15.17</t>
  </si>
  <si>
    <t>₹16.73</t>
  </si>
  <si>
    <t>₹19.37</t>
  </si>
  <si>
    <t>Market/Occupancy</t>
  </si>
  <si>
    <t>Anchor MOUs</t>
  </si>
  <si>
    <t>EBITDA</t>
  </si>
  <si>
    <t>₹2.93</t>
  </si>
  <si>
    <t>₹3.53</t>
  </si>
  <si>
    <t>₹4.05</t>
  </si>
  <si>
    <t>₹6.07</t>
  </si>
  <si>
    <t>₹6.88</t>
  </si>
  <si>
    <t>₹8.21</t>
  </si>
  <si>
    <t>No 4-star in zone</t>
  </si>
  <si>
    <t>Buffer built-in</t>
  </si>
  <si>
    <t>Occupancy</t>
  </si>
  <si>
    <t>8% contingency</t>
  </si>
  <si>
    <t>ADR</t>
  </si>
  <si>
    <t>₹3,800</t>
  </si>
  <si>
    <t>₹4,200</t>
  </si>
  <si>
    <t>₹4,500</t>
  </si>
  <si>
    <t>₹5,000</t>
  </si>
  <si>
    <t>₹5,513</t>
  </si>
  <si>
    <t>₹6,381</t>
  </si>
  <si>
    <t>Regulatory</t>
  </si>
  <si>
    <t>All approvals secured</t>
  </si>
  <si>
    <t>Keys</t>
  </si>
  <si>
    <t>Phase 2 Timing</t>
  </si>
  <si>
    <t>8-point gate</t>
  </si>
  <si>
    <t>OPERATING MODEL DECISION</t>
  </si>
  <si>
    <t>Independent ✓</t>
  </si>
  <si>
    <t>IHG Franchise</t>
  </si>
  <si>
    <t>IHCL Taj</t>
  </si>
  <si>
    <t>Marriott</t>
  </si>
  <si>
    <t>Lemon Tree</t>
  </si>
  <si>
    <t>Why others fail</t>
  </si>
  <si>
    <t>KEY INVESTMENT TAKEAWAYS</t>
  </si>
  <si>
    <t>10-Year IRR</t>
  </si>
  <si>
    <t>Marriott / IHCL Taj require 100+ keys</t>
  </si>
  <si>
    <t>Fee Leakage (10yr)</t>
  </si>
  <si>
    <t>₹9.8 Cr</t>
  </si>
  <si>
    <t>₹19.9 Cr</t>
  </si>
  <si>
    <t>₹24.1 Cr</t>
  </si>
  <si>
    <t>₹6.2 Cr</t>
  </si>
  <si>
    <t>Lemon Tree caps ADR at ₹3K–4K</t>
  </si>
  <si>
    <t>• Base IRR of 17.8% exceeds 12% hurdle by 5.8 percentage points</t>
  </si>
  <si>
    <t>Passes 12% Hurdle?</t>
  </si>
  <si>
    <t>FAIL</t>
  </si>
  <si>
    <t>IHG: 230 bps lower, ₹9.8 Cr leak</t>
  </si>
  <si>
    <t>• NPV of ₹15.9 Cr demonstrates strong value creation</t>
  </si>
  <si>
    <t>Eligibility (72 keys)</t>
  </si>
  <si>
    <t>Any size</t>
  </si>
  <si>
    <t>75+ keys ✓</t>
  </si>
  <si>
    <t>100+ keys ✗</t>
  </si>
  <si>
    <t>50+ keys ✓</t>
  </si>
  <si>
    <t>• Bear case IRR of 14.3% still clears hurdle rate</t>
  </si>
  <si>
    <t>SELECTED:</t>
  </si>
  <si>
    <t>Independent Owner-Operated  ·  Highest IRR (15.7%)  ·  Zero fees  ·  Full control  ·  Can add brand later at Year 3–5 if needed</t>
  </si>
  <si>
    <t>• 2.71x return multiple indicates excellent capital efficiency</t>
  </si>
  <si>
    <t>• All 6 investment criteria pass threshold requirements</t>
  </si>
  <si>
    <t>• Moderate risk profile with strong mitigation strategies</t>
  </si>
  <si>
    <t>APPROVE</t>
  </si>
  <si>
    <t>Phase 1 (₹35.7 Cr, 55 keys) as Independent operation</t>
  </si>
  <si>
    <t>Conditional Phase 2 (₹7.3 Cr, +17 keys) subject to decision gate at Month 36</t>
  </si>
  <si>
    <t>IRR of 18.3% exceeds 12% hurdle by 630 basis points</t>
  </si>
  <si>
    <t>Even bear case delivers 14.3% — above board minimum</t>
  </si>
  <si>
    <t>7.8-year payback within 10-year threshold</t>
  </si>
  <si>
    <t>Anchor MOUs provide 8–11% baseline occupancy floor</t>
  </si>
  <si>
    <t>BOARD RECOMMENDATION (REVISED)</t>
  </si>
  <si>
    <t>Status: ⚠️ CONDITIONAL APPROVAL ONLY</t>
  </si>
  <si>
    <t>Conditions for Approval:</t>
  </si>
  <si>
    <t xml:space="preserve">  1. Complete market validation study (ADR/amenity demand) within 8 weeks</t>
  </si>
  <si>
    <t xml:space="preserve">  2. Review 3-star 'Lite' alternative (₹28-30 Cr CAPEX, better ROI potential)</t>
  </si>
  <si>
    <t xml:space="preserve">  3. Implement strict cost controls and daily revenue management</t>
  </si>
  <si>
    <t xml:space="preserve">  4. Pre-opening sales to secure 60-70% MOU coverage before launch</t>
  </si>
  <si>
    <t>Alternative: DEFER pending Lite scenario analysis</t>
  </si>
  <si>
    <t>2.71x return multiple exceeds 2.0x minimum</t>
  </si>
  <si>
    <t>Phase 2 gate limits downside; no commitment until Month 36</t>
  </si>
  <si>
    <t>Independent model = highest IRR of all viable options</t>
  </si>
  <si>
    <t>Owner-operator saves ₹30L/yr versus hired GM</t>
  </si>
  <si>
    <t>Original vs Restructured Assumptions</t>
  </si>
  <si>
    <t>Original</t>
  </si>
  <si>
    <t>Restructured</t>
  </si>
  <si>
    <t>12%</t>
  </si>
  <si>
    <t>+5.5 pp</t>
  </si>
  <si>
    <t>-25 pp</t>
  </si>
  <si>
    <t>NPV</t>
  </si>
  <si>
    <t>-95.7%</t>
  </si>
  <si>
    <t>5.8 pp</t>
  </si>
  <si>
    <t>0.3 pp</t>
  </si>
  <si>
    <t>© 2025 Giritharan Chockalingam   ·   All Rights Reserved   ·   Confidential — Board Approval Use Only</t>
  </si>
  <si>
    <t>IRR SENSITIVITY ANALYSIS (2-Way)</t>
  </si>
  <si>
    <t>ADR vs Occupancy Rate Variations</t>
  </si>
  <si>
    <t>ADR \ Occupancy</t>
  </si>
  <si>
    <t>-5%</t>
  </si>
  <si>
    <t>-2.5%</t>
  </si>
  <si>
    <t>Base</t>
  </si>
  <si>
    <t>+2.5%</t>
  </si>
  <si>
    <t>+5%</t>
  </si>
  <si>
    <t>-10%</t>
  </si>
  <si>
    <t>+10%</t>
  </si>
  <si>
    <t>Legend:</t>
  </si>
  <si>
    <t>&gt;15%</t>
  </si>
  <si>
    <t>12-15%</t>
  </si>
  <si>
    <t>&lt;12%</t>
  </si>
  <si>
    <t>MARKET OPPORTUNITY &amp; ANCHOR PARTNERSHIPS</t>
  </si>
  <si>
    <t>Demand Anchors: Medical Corridor + Corporate Network</t>
  </si>
  <si>
    <t>MEDICAL ANCHOR REVENUE</t>
  </si>
  <si>
    <t>Hospital Partner</t>
  </si>
  <si>
    <t>Bed Count</t>
  </si>
  <si>
    <t>Nights/Mo Low</t>
  </si>
  <si>
    <t>Nights/Mo High</t>
  </si>
  <si>
    <t>ADR (₹)</t>
  </si>
  <si>
    <t>Rev Low (₹L/yr)</t>
  </si>
  <si>
    <t>Rev High (₹L/yr)</t>
  </si>
  <si>
    <t>Vikram Hospital</t>
  </si>
  <si>
    <t>150-225</t>
  </si>
  <si>
    <t>Hannah Joseph Hospital</t>
  </si>
  <si>
    <t>Aravind Eye Hospital</t>
  </si>
  <si>
    <t>150+</t>
  </si>
  <si>
    <t>Total Medical Anchors</t>
  </si>
  <si>
    <t>CORPORATE ANCHOR REVENUE</t>
  </si>
  <si>
    <t>Corporate Segment</t>
  </si>
  <si>
    <t>Key Companies</t>
  </si>
  <si>
    <t>IT/ITES</t>
  </si>
  <si>
    <t>TCS, Infosys, HCL, Cognizant</t>
  </si>
  <si>
    <t>Pharma</t>
  </si>
  <si>
    <t>Cipla, Sun Pharma, Dr Reddy's</t>
  </si>
  <si>
    <t>Chennai IT Overflow</t>
  </si>
  <si>
    <t>SEZ companies, Tidel Park</t>
  </si>
  <si>
    <t>Banking / Consulting</t>
  </si>
  <si>
    <t>SBI, ICICI, McKinsey, Deloitte</t>
  </si>
  <si>
    <t>Total Corporate Anchors</t>
  </si>
  <si>
    <t>COMBINED ANCHOR VALUE SUMMARY</t>
  </si>
  <si>
    <t>Midpoint</t>
  </si>
  <si>
    <t>Total Room-Nights/Month</t>
  </si>
  <si>
    <t>Annual Revenue (₹ Lakhs)</t>
  </si>
  <si>
    <t>Occupancy Floor (55 keys)</t>
  </si>
  <si>
    <t>Occupancy Floor (72 keys)</t>
  </si>
  <si>
    <t>STRATEGIC VALUE OF ANCHOR PARTNERSHIPS</t>
  </si>
  <si>
    <t>1. Occupancy Floor</t>
  </si>
  <si>
    <t>Guaranteed baseline demand reduces downside risk</t>
  </si>
  <si>
    <t>2. Pricing Power</t>
  </si>
  <si>
    <t>Contracted rates stabilize ADR vs OTA-dependent hotels</t>
  </si>
  <si>
    <t>3. Demand Hedge</t>
  </si>
  <si>
    <t>Diversified across medical, corporate, leisure segments</t>
  </si>
  <si>
    <t>4. Network Effects</t>
  </si>
  <si>
    <t>Partner 3's IT contacts create corporate referral flywheel</t>
  </si>
  <si>
    <t>5. Counter-Cyclical</t>
  </si>
  <si>
    <t>Medical tourism demand is recession-resistant</t>
  </si>
  <si>
    <t>6. Competitive Moat</t>
  </si>
  <si>
    <t>Proximity to Hannah Joseph + established relationships</t>
  </si>
  <si>
    <t>© 2025 Giritharan Chockalingam. All Rights Reserved. | This financial model and all associated intellectual property are proprietary and confidential.</t>
  </si>
  <si>
    <t>CONFIDENTIAL — For Board Approval Use Only | V3 Grand Madurai Investment Model v1.0 | Unauthorized reproduction or distribution is strictly prohibited.</t>
  </si>
  <si>
    <t>V3 GRAND MADURAI | Key Assumptions | Base Case Analysis</t>
  </si>
  <si>
    <t>Prepared: February 2026 | Confidential - Board Use Only</t>
  </si>
  <si>
    <t>KEY ASSUMPTIONS</t>
  </si>
  <si>
    <t>Inputs, Parameters &amp; Validation Checks</t>
  </si>
  <si>
    <t>PROJECT PARAMETERS</t>
  </si>
  <si>
    <t>Parameter</t>
  </si>
  <si>
    <t>Unit</t>
  </si>
  <si>
    <t>Notes</t>
  </si>
  <si>
    <t>Toggle</t>
  </si>
  <si>
    <t>Selection</t>
  </si>
  <si>
    <t>Total Keys - Phase 1</t>
  </si>
  <si>
    <t>rooms</t>
  </si>
  <si>
    <t>Initial development</t>
  </si>
  <si>
    <t>Active Scenario</t>
  </si>
  <si>
    <t>← Change to: Bear / Base / Bull</t>
  </si>
  <si>
    <t>Total Keys - Phase 2</t>
  </si>
  <si>
    <t>Expansion (if triggered at Month 36)</t>
  </si>
  <si>
    <t>Phase Mode</t>
  </si>
  <si>
    <t>Phased</t>
  </si>
  <si>
    <t>← Change to: Phase 1 Only / Phased</t>
  </si>
  <si>
    <t>Total Keys - Full Build</t>
  </si>
  <si>
    <t>Phase 1 + Phase 2</t>
  </si>
  <si>
    <t>Phase 1 Investment</t>
  </si>
  <si>
    <t>Land + Construction + Pre-op</t>
  </si>
  <si>
    <t>SCENARIO PARAMETERS</t>
  </si>
  <si>
    <t>Phase 2 Investment</t>
  </si>
  <si>
    <t>Fit-out only (shell in Phase 1)</t>
  </si>
  <si>
    <t>Bear</t>
  </si>
  <si>
    <t>Bull</t>
  </si>
  <si>
    <t>Active</t>
  </si>
  <si>
    <t>Stabilized Occupancy</t>
  </si>
  <si>
    <t>Construction Start</t>
  </si>
  <si>
    <t>Month 0</t>
  </si>
  <si>
    <t>Phase 1 commencement</t>
  </si>
  <si>
    <t>Stabilized ADR (₹)</t>
  </si>
  <si>
    <t>Phase 1 Opening</t>
  </si>
  <si>
    <t>Month 28</t>
  </si>
  <si>
    <t>55 keys operational</t>
  </si>
  <si>
    <t>Phase 2 Trigger Assessment</t>
  </si>
  <si>
    <t>Month 36</t>
  </si>
  <si>
    <t>8-point decision gate</t>
  </si>
  <si>
    <t>MOU Realization</t>
  </si>
  <si>
    <t>Phase 2 Opening</t>
  </si>
  <si>
    <t>Month 43</t>
  </si>
  <si>
    <t>72 keys operational (if triggered)</t>
  </si>
  <si>
    <t>Hotel Star Rating</t>
  </si>
  <si>
    <t>4-Star</t>
  </si>
  <si>
    <t>Boutique business positioning</t>
  </si>
  <si>
    <t>Operating Model</t>
  </si>
  <si>
    <t>Independent</t>
  </si>
  <si>
    <t>No franchise — owner-operator</t>
  </si>
  <si>
    <t>NPV @ 12% (₹ Cr)</t>
  </si>
  <si>
    <t>Payback (Years)</t>
  </si>
  <si>
    <t>MARKET ASSUMPTIONS</t>
  </si>
  <si>
    <t>Occupancy Ramp (Phase 1 - 55 Keys)</t>
  </si>
  <si>
    <t>Year 10 EBITDA (₹ Cr)</t>
  </si>
  <si>
    <t>Exit Value (₹ Cr)</t>
  </si>
  <si>
    <t>Year 9</t>
  </si>
  <si>
    <t>Occupancy %</t>
  </si>
  <si>
    <t>REVISED HURDLE RATES &amp; DISCOUNT RATES</t>
  </si>
  <si>
    <t>Original Model Hurdle Rate</t>
  </si>
  <si>
    <t>Initial assumption - UNDERSTATED</t>
  </si>
  <si>
    <t>Calculated WACC (Full Risk)</t>
  </si>
  <si>
    <t>18.4% - Full boutique hotel risk</t>
  </si>
  <si>
    <t>Recommended Hurdle Rates:</t>
  </si>
  <si>
    <t xml:space="preserve">  • Conservative (Anchor-Adjusted)</t>
  </si>
  <si>
    <t>Reflects anchor MOU risk mitigation</t>
  </si>
  <si>
    <t xml:space="preserve">  • Base Case (RECOMMENDED)</t>
  </si>
  <si>
    <t>Balanced risk-adjusted - USE THIS</t>
  </si>
  <si>
    <t xml:space="preserve">  • Aggressive (Full WACC)</t>
  </si>
  <si>
    <t>No risk adjustment</t>
  </si>
  <si>
    <t>⚠️ HURDLE RATE FOR ALL ANALYSIS</t>
  </si>
  <si>
    <t>All NPV and IRR hurdle checks now use 17.5% discount rate</t>
  </si>
  <si>
    <t>MODEL ERROR CHECKS</t>
  </si>
  <si>
    <t>ADR Growth %</t>
  </si>
  <si>
    <t>Check</t>
  </si>
  <si>
    <t>Expected</t>
  </si>
  <si>
    <t>RevPAR (₹)</t>
  </si>
  <si>
    <t>Total Keys = Phase 1 + Phase 2</t>
  </si>
  <si>
    <t>✓ PASS</t>
  </si>
  <si>
    <t>ANCHOR MOU REALIZATION CURVES (REALISTIC PHASING)</t>
  </si>
  <si>
    <t>Year 3+</t>
  </si>
  <si>
    <t>Rationale</t>
  </si>
  <si>
    <t>Base Case MOU %</t>
  </si>
  <si>
    <t>Gradual contract activation vs instant 100%</t>
  </si>
  <si>
    <t>Bear Case MOU %</t>
  </si>
  <si>
    <t>Conservative partnership ramp-up</t>
  </si>
  <si>
    <t>Bull Case MOU %</t>
  </si>
  <si>
    <t>Optimistic with upsell and expansion</t>
  </si>
  <si>
    <t>⚠️ NOTE: Original model assumed 100% MOU realization from Day 1 - overly optimistic for new hotel</t>
  </si>
  <si>
    <t>Total Investment = P1 + P2</t>
  </si>
  <si>
    <t>Segment Mix</t>
  </si>
  <si>
    <t>Segment Mix = 100%</t>
  </si>
  <si>
    <t>Segment</t>
  </si>
  <si>
    <t>Mix %</t>
  </si>
  <si>
    <t>Key Drivers</t>
  </si>
  <si>
    <t>Revenue Mix = 100%</t>
  </si>
  <si>
    <t>Medical Tourism</t>
  </si>
  <si>
    <t>Vikram, Hannah Joseph, Aravind Eye</t>
  </si>
  <si>
    <t>CAPEX Phase 1 Total = ₹35.7 Cr</t>
  </si>
  <si>
    <t>Corporate / Business</t>
  </si>
  <si>
    <t>IT/ITES, Pharma, Banking, Consulting</t>
  </si>
  <si>
    <t>CAPEX Phase 2 Total = ₹7.3 Cr</t>
  </si>
  <si>
    <t>Leisure / Temple Tourism</t>
  </si>
  <si>
    <t>Meenakshi Temple, cultural tourism</t>
  </si>
  <si>
    <t>Phase 1 IRR &gt; Hurdle (17.5%)</t>
  </si>
  <si>
    <t>&gt;17.5%</t>
  </si>
  <si>
    <t>MICE / Events</t>
  </si>
  <si>
    <t>Meetings, incentives, conferences</t>
  </si>
  <si>
    <t>Phased IRR &gt; Hurdle (17.5%)</t>
  </si>
  <si>
    <t>Airline Crews</t>
  </si>
  <si>
    <t>Airport proximity (&lt;5km)</t>
  </si>
  <si>
    <t>MASTER CHECK</t>
  </si>
  <si>
    <t>Total</t>
  </si>
  <si>
    <t>Seasonality Factors (Monthly Occupancy Multiplier)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</si>
  <si>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</si>
  <si>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</si>
  <si>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</si>
  <si>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</si>
  <si>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</si>
  <si>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</si>
  <si>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</si>
  <si>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</si>
  <si>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</si>
  <si>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</si>
  <si>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</si>
  <si>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</si>
  <si>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OPERATING ASSUMPTIONS</t>
  </si>
  <si>
    <t>Revenue Mix</t>
  </si>
  <si>
    <t>Category</t>
  </si>
  <si>
    <t>% of Total Revenue</t>
  </si>
  <si>
    <t>Room Revenue</t>
  </si>
  <si>
    <t>Primary revenue driver</t>
  </si>
  <si>
    <t>F&amp;B Revenue</t>
  </si>
  <si>
    <t>Restaurant + banquet + room service</t>
  </si>
  <si>
    <t>Other Revenue</t>
  </si>
  <si>
    <t>Laundry, parking, business center, minibar</t>
  </si>
  <si>
    <t>Expense Ratios (% of Revenue)</t>
  </si>
  <si>
    <t>Expense Category</t>
  </si>
  <si>
    <t>% of Revenue</t>
  </si>
  <si>
    <t>Fixed/Variable</t>
  </si>
  <si>
    <t>Rooms Department</t>
  </si>
  <si>
    <t>60% Variable</t>
  </si>
  <si>
    <t>Housekeeping, front office, laundry (% of room revenue)</t>
  </si>
  <si>
    <t>F&amp;B COGS</t>
  </si>
  <si>
    <t>80% Variable</t>
  </si>
  <si>
    <t>Food &amp; beverage cost of goods</t>
  </si>
  <si>
    <t>Sales &amp; Marketing</t>
  </si>
  <si>
    <t>50% Variable</t>
  </si>
  <si>
    <t>OTA commissions, digital, sales team</t>
  </si>
  <si>
    <t>Utilities</t>
  </si>
  <si>
    <t>30% Variable</t>
  </si>
  <si>
    <t>Electricity, water, internet, DG</t>
  </si>
  <si>
    <t>Repairs &amp; Maintenance</t>
  </si>
  <si>
    <t>40% Variable</t>
  </si>
  <si>
    <t>AMC, repairs, painting, upkeep</t>
  </si>
  <si>
    <t>Admin &amp; General</t>
  </si>
  <si>
    <t>70% Fixed</t>
  </si>
  <si>
    <t>GM, accounts, HR, insurance, licenses</t>
  </si>
  <si>
    <t>Property Taxes</t>
  </si>
  <si>
    <t>100% Fixed</t>
  </si>
  <si>
    <t>Municipal corporation levy</t>
  </si>
  <si>
    <t>Total Operating Expenses</t>
  </si>
  <si>
    <t>Note: Rooms dept shown as % of room revenue; effective total OpEx ~60%</t>
  </si>
  <si>
    <t>Implied EBITDA Margin</t>
  </si>
  <si>
    <t>Year 1 Fixed Cost Floor</t>
  </si>
  <si>
    <t>₹ Crore (minimum even at 0% occupancy)</t>
  </si>
  <si>
    <t>Annual Inflation (Fixed Cost Escalation)</t>
  </si>
  <si>
    <t>Owner-Operator GM Savings</t>
  </si>
  <si>
    <t>₹ Lakhs/year (Partner 3 as GM)</t>
  </si>
  <si>
    <t>FINANCIAL ASSUMPTIONS</t>
  </si>
  <si>
    <t>WACC / Discount Rate</t>
  </si>
  <si>
    <t>Board hurdle rate</t>
  </si>
  <si>
    <t>Exit Multiple (Year 10)</t>
  </si>
  <si>
    <t>x EBITDA — 4-star hotel benchmark</t>
  </si>
  <si>
    <t>Terminal Growth Rate (Gordon)</t>
  </si>
  <si>
    <t>For DCF perpetuity calculation</t>
  </si>
  <si>
    <t>Corporate Tax Rate</t>
  </si>
  <si>
    <t>Indian corporate tax (new regime)</t>
  </si>
  <si>
    <t>Debt : Equity Split</t>
  </si>
  <si>
    <t>40 : 60</t>
  </si>
  <si>
    <t>40% debt, 60% equity</t>
  </si>
  <si>
    <t>Debt Proportion</t>
  </si>
  <si>
    <t>Equity Proportion</t>
  </si>
  <si>
    <t>Cost of Debt (Pre-tax)</t>
  </si>
  <si>
    <t>Bank term loan rate</t>
  </si>
  <si>
    <t>Moratorium Period</t>
  </si>
  <si>
    <t>Years (during construction)</t>
  </si>
  <si>
    <t>Loan Tenure (Post-moratorium)</t>
  </si>
  <si>
    <t>Years — amortizing principal</t>
  </si>
  <si>
    <t>Depreciation - Building</t>
  </si>
  <si>
    <t>Years — straight-line</t>
  </si>
  <si>
    <t>Depreciation - FF&amp;E</t>
  </si>
  <si>
    <t>Working Capital (Days of OpEx)</t>
  </si>
  <si>
    <t>days</t>
  </si>
  <si>
    <t>FF&amp;E Reserve (from Year 3)</t>
  </si>
  <si>
    <t>of revenue — for replacement cycle</t>
  </si>
  <si>
    <t>ANCHOR PARTNERSHIP ASSUMPTIONS</t>
  </si>
  <si>
    <t>Medical MOUs (Monthly Room-Nights)</t>
  </si>
  <si>
    <t>Partner</t>
  </si>
  <si>
    <t>Low Est.</t>
  </si>
  <si>
    <t>High Est.</t>
  </si>
  <si>
    <t>Vikram Hospital (150-225 beds)</t>
  </si>
  <si>
    <t>Hannah Joseph Hospital (150 beds)</t>
  </si>
  <si>
    <t>Aravind Eye Hospital Network</t>
  </si>
  <si>
    <t>Total Medical</t>
  </si>
  <si>
    <t>Corporate MOUs (Monthly Room-Nights)</t>
  </si>
  <si>
    <t>Partner Segment</t>
  </si>
  <si>
    <t>IT/ITES (TCS, Infosys, HCL)</t>
  </si>
  <si>
    <t>Pharma Companies</t>
  </si>
  <si>
    <t>Chennai IT Park Overflow</t>
  </si>
  <si>
    <t>Total Corporate</t>
  </si>
  <si>
    <t>MOU Realization Schedule</t>
  </si>
  <si>
    <t>Year</t>
  </si>
  <si>
    <t>Realization %</t>
  </si>
  <si>
    <t>Description</t>
  </si>
  <si>
    <t>⚠️ CRITICAL ASSUMPTION CHANGES - BOARD AWARENESS</t>
  </si>
  <si>
    <t>Building relationships, initial contracts</t>
  </si>
  <si>
    <t>Proven service, expanded agreements</t>
  </si>
  <si>
    <t>Key Changes from Original Model:</t>
  </si>
  <si>
    <t>Full MOU realization, mature partnerships</t>
  </si>
  <si>
    <t>• Hurdle Rate: 12.0% → 17.5% (+5.5 percentage points) based on proper WACC calculation</t>
  </si>
  <si>
    <t>• Year 1 Occupancy: 65% → 40% (Bear: 35%, Bull: 50%) for realistic new hotel stabilization</t>
  </si>
  <si>
    <t>• Anchor MOU Realization: 100% Day 1 → 70% Year 1, ramping to 100% by Year 3</t>
  </si>
  <si>
    <t>• Anchor MOUs now phase in over 24 months vs instant activation assumption</t>
  </si>
  <si>
    <t>Expected Impact:</t>
  </si>
  <si>
    <t>• IRR will DECREASE due to higher discount rate and slower revenue ramp</t>
  </si>
  <si>
    <t>• NPV will DECREASE significantly (lower cash flows + higher discount rate)</t>
  </si>
  <si>
    <t>• Payback Period will INCREASE by 1-2 years due to slower stabilization</t>
  </si>
  <si>
    <t>• Bear case may no longer pass 17.5% hurdle (was passing 12% hurdle easily)</t>
  </si>
  <si>
    <t>Justification:</t>
  </si>
  <si>
    <t>• WACC derived from comparable Indian hospitality cos (IHCL β=1.41, EIH β=1.02)</t>
  </si>
  <si>
    <t>• 18-24 month stabilization is industry standard for new unbranded hotels</t>
  </si>
  <si>
    <t>• MOU contracts require operational proof before full activation</t>
  </si>
  <si>
    <t>⚠️ MODEL NOW REFLECTS REALISTIC RISK-ADJUSTED EXPECTATIONS vs OPTIMISTIC INITIAL ASSUMPTIONS</t>
  </si>
  <si>
    <t>CAPEX &amp; DEVELOPMENT PHASING</t>
  </si>
  <si>
    <t>Phase 1 (₹35.7 Cr, 55 Keys) → Phase 2 (₹7.3 Cr, +17 Keys)</t>
  </si>
  <si>
    <t>PHASE 1 BREAKDOWN (₹35.7 Crore)</t>
  </si>
  <si>
    <t>Amount (₹ Cr)</t>
  </si>
  <si>
    <t>% of Total</t>
  </si>
  <si>
    <t>Timing</t>
  </si>
  <si>
    <t>Land Acquisition</t>
  </si>
  <si>
    <t>100% upfront payment</t>
  </si>
  <si>
    <t>Construction - Civil</t>
  </si>
  <si>
    <t>Months 7-24</t>
  </si>
  <si>
    <t>S-curve distribution</t>
  </si>
  <si>
    <t>MEP &amp; Services</t>
  </si>
  <si>
    <t>Months 12-24</t>
  </si>
  <si>
    <t>Electrical, plumbing, HVAC</t>
  </si>
  <si>
    <t>Interior Design</t>
  </si>
  <si>
    <t>Months 18-26</t>
  </si>
  <si>
    <t>Rooms, lobby, restaurant</t>
  </si>
  <si>
    <t>FF&amp;E (Furniture, Fixtures)</t>
  </si>
  <si>
    <t>Months 22-27</t>
  </si>
  <si>
    <t>Beds, furnishings, equipment</t>
  </si>
  <si>
    <t>Pre-Operative Expenses</t>
  </si>
  <si>
    <t>Months 24-28</t>
  </si>
  <si>
    <t>Hiring, training, marketing, licenses</t>
  </si>
  <si>
    <t>Contingency</t>
  </si>
  <si>
    <t>Throughout</t>
  </si>
  <si>
    <t>~3% reserve for overruns</t>
  </si>
  <si>
    <t>Total Phase 1</t>
  </si>
  <si>
    <t>PHASE 2 BREAKDOWN (₹7.3 Crore) — Triggered at Month 36</t>
  </si>
  <si>
    <t>Civil Works</t>
  </si>
  <si>
    <t>Months 36-40</t>
  </si>
  <si>
    <t>Shell already built in Phase 1</t>
  </si>
  <si>
    <t>Months 37-41</t>
  </si>
  <si>
    <t>Fit-out of 17 additional rooms</t>
  </si>
  <si>
    <t>Months 39-42</t>
  </si>
  <si>
    <t>Room interiors, common areas</t>
  </si>
  <si>
    <t>FF&amp;E</t>
  </si>
  <si>
    <t>Months 40-43</t>
  </si>
  <si>
    <t>Furniture &amp; equipment for 17 rooms</t>
  </si>
  <si>
    <t>Months 41-43</t>
  </si>
  <si>
    <t>Staff hiring for expansion</t>
  </si>
  <si>
    <t>~3% reserve</t>
  </si>
  <si>
    <t>Total Phase 2</t>
  </si>
  <si>
    <t>COMBINED TOTAL INVESTMENT</t>
  </si>
  <si>
    <t>MONTHLY CAPEX PHASING (₹ Crore)</t>
  </si>
  <si>
    <t>Phase 1 (₹ Cr)</t>
  </si>
  <si>
    <t>Months 1-6</t>
  </si>
  <si>
    <t>Months 7-12</t>
  </si>
  <si>
    <t>Months 13-18</t>
  </si>
  <si>
    <t>Months 19-24</t>
  </si>
  <si>
    <t>Months 25-28</t>
  </si>
  <si>
    <t>Phase 1 Total</t>
  </si>
  <si>
    <t>Phase 2 (₹ Cr)</t>
  </si>
  <si>
    <t>Months 36-38</t>
  </si>
  <si>
    <t>Months 39-41</t>
  </si>
  <si>
    <t>Months 42-43</t>
  </si>
  <si>
    <t>Phase 2 Total</t>
  </si>
  <si>
    <t>Grand Total</t>
  </si>
  <si>
    <t>Pre-Operative</t>
  </si>
  <si>
    <t>Period Total</t>
  </si>
  <si>
    <t>Cumulative Investment</t>
  </si>
  <si>
    <t>Phase 1 Revenue Projections</t>
  </si>
  <si>
    <t>V3 Grand Madurai • Confidential Board Material • February 2026</t>
  </si>
  <si>
    <t>REVENUE MODEL — PHASE 1 ONLY</t>
  </si>
  <si>
    <t>55 Keys · 10-Year Projection · Base Case</t>
  </si>
  <si>
    <t>Year 4</t>
  </si>
  <si>
    <t>Year 6</t>
  </si>
  <si>
    <t>Year 8</t>
  </si>
  <si>
    <t>ROOM INVENTORY</t>
  </si>
  <si>
    <t>Available Keys</t>
  </si>
  <si>
    <t>Days in Year</t>
  </si>
  <si>
    <t>Available Room-Nights</t>
  </si>
  <si>
    <t>OCCUPANCY &amp; ADR</t>
  </si>
  <si>
    <t>Occupied Room-Nights</t>
  </si>
  <si>
    <t>REVENUE BREAKDOWN (₹ Crore)</t>
  </si>
  <si>
    <t>TOTAL REVENUE</t>
  </si>
  <si>
    <t>SEGMENT BREAKDOWN (₹ Crore — Room Revenue Only)</t>
  </si>
  <si>
    <t>Medical Tourism (28%)</t>
  </si>
  <si>
    <t>Corporate / Business (35%)</t>
  </si>
  <si>
    <t>Leisure / Temple (22%)</t>
  </si>
  <si>
    <t>MICE / Events (8%)</t>
  </si>
  <si>
    <t>Airline Crews (7%)</t>
  </si>
  <si>
    <t>Total (Check = Room Revenue)</t>
  </si>
  <si>
    <t>ANCHOR PARTNERSHIP OVERLAY</t>
  </si>
  <si>
    <t>MOU Realization %</t>
  </si>
  <si>
    <t>Baseline Room-Nights/Month (at 100%)</t>
  </si>
  <si>
    <t>Realized Baseline (room-nights/yr)</t>
  </si>
  <si>
    <t>Baseline as % of Total Occupied</t>
  </si>
  <si>
    <t>Baseline Occupancy Floor</t>
  </si>
  <si>
    <t>YoY GROWTH METRICS</t>
  </si>
  <si>
    <t>Revenue Growth %</t>
  </si>
  <si>
    <t>RevPAR Growth %</t>
  </si>
  <si>
    <t>V3 GRAND MADURAI | Revenue — Phased | Base Case Analysis</t>
  </si>
  <si>
    <t>REVENUE MODEL — PHASED EXPANSION</t>
  </si>
  <si>
    <t>55 → 72 Keys · 10-Year Projection · Base Case</t>
  </si>
  <si>
    <t>PHASE 1 KEYS (55 rooms)</t>
  </si>
  <si>
    <t>Phase 1 Keys</t>
  </si>
  <si>
    <t>Phase 1 Occupancy %</t>
  </si>
  <si>
    <t>Phase 1 Room-Nights</t>
  </si>
  <si>
    <t>Phase 1 ADR (₹)</t>
  </si>
  <si>
    <t>Phase 1 Room Revenue (₹ Cr)</t>
  </si>
  <si>
    <t>PHASE 2 KEYS (17 rooms — Opens Month 43)</t>
  </si>
  <si>
    <t>Phase 2 Keys</t>
  </si>
  <si>
    <t>Months Operational (Year 4 partial)</t>
  </si>
  <si>
    <t>Phase 2 Occupancy %</t>
  </si>
  <si>
    <t>Phase 2 Available Room-Nights</t>
  </si>
  <si>
    <t>Phase 2 Occupied Room-Nights</t>
  </si>
  <si>
    <t>Phase 2 ADR (₹)</t>
  </si>
  <si>
    <t>Phase 2 Room Revenue (₹ Cr)</t>
  </si>
  <si>
    <t>BLENDED TOTALS (55 + 17 KEYS)</t>
  </si>
  <si>
    <t>Total Keys Operational</t>
  </si>
  <si>
    <t>Total Room Revenue (₹ Cr)</t>
  </si>
  <si>
    <t>F&amp;B Revenue (₹ Cr)</t>
  </si>
  <si>
    <t>Other Revenue (₹ Cr)</t>
  </si>
  <si>
    <t>TOTAL REVENUE (₹ Cr)</t>
  </si>
  <si>
    <t>Blended Occupancy %</t>
  </si>
  <si>
    <t>Blended RevPAR (₹)</t>
  </si>
  <si>
    <t>INCREMENTAL PHASE 2 IMPACT</t>
  </si>
  <si>
    <t>Incremental Revenue (₹ Cr)</t>
  </si>
  <si>
    <t>Operating Expense Model</t>
  </si>
  <si>
    <t>OPERATING EXPENSE STRUCTURE</t>
  </si>
  <si>
    <t>Department-Level Detail · Fixed/Variable Split</t>
  </si>
  <si>
    <t>Total Revenue (Phase 1 — 55 Keys)</t>
  </si>
  <si>
    <t>OPERATING EXPENSES</t>
  </si>
  <si>
    <t>Rooms Department (18% of room rev)</t>
  </si>
  <si>
    <t>F&amp;B Cost of Goods (11% of revenue)</t>
  </si>
  <si>
    <t>Sales &amp; Marketing (5% of revenue)</t>
  </si>
  <si>
    <t>Utilities (5% of revenue)</t>
  </si>
  <si>
    <t>Repairs &amp; Maintenance (3% of revenue)</t>
  </si>
  <si>
    <t>Admin &amp; General (8% of revenue)</t>
  </si>
  <si>
    <t>Property Taxes (1.5% of revenue)</t>
  </si>
  <si>
    <t>TOTAL OPERATING EXPENSES</t>
  </si>
  <si>
    <t>OpEx as % of Revenue</t>
  </si>
  <si>
    <t>EBITDA (Phase 1)</t>
  </si>
  <si>
    <t>EBITDA Margin %</t>
  </si>
  <si>
    <t>FIXED vs VARIABLE ANALYSIS</t>
  </si>
  <si>
    <t>Fixed Component (~40%)</t>
  </si>
  <si>
    <t>Variable Component (~60%)</t>
  </si>
  <si>
    <t>Owner-Operator Savings (₹ Cr)</t>
  </si>
  <si>
    <t>EBITDA &amp; Cash Flow — Phase 1</t>
  </si>
  <si>
    <t>EBITDA &amp; CASH FLOW — PHASE 1</t>
  </si>
  <si>
    <t>P&amp;L, Free Cash Flow &amp; Debt Service · 55 Keys</t>
  </si>
  <si>
    <t>(₹ Crore)</t>
  </si>
  <si>
    <t>Total Revenue</t>
  </si>
  <si>
    <t>(-) Total Operating Expenses</t>
  </si>
  <si>
    <t>(-) Depreciation</t>
  </si>
  <si>
    <t>EBIT</t>
  </si>
  <si>
    <t>(-) Interest Expense</t>
  </si>
  <si>
    <t>Profit Before Tax (PBT)</t>
  </si>
  <si>
    <t>(-) Tax @ 25.17%</t>
  </si>
  <si>
    <t>Profit After Tax (PAT)</t>
  </si>
  <si>
    <t>FREE CASH FLOW</t>
  </si>
  <si>
    <t>PAT</t>
  </si>
  <si>
    <t>(+) Depreciation Add-back</t>
  </si>
  <si>
    <t>(-) Principal Repayment</t>
  </si>
  <si>
    <t>(-) FF&amp;E Reserve (3% from Yr 3)</t>
  </si>
  <si>
    <t>(-) Working Capital Change</t>
  </si>
  <si>
    <t>FREE CASH FLOW TO EQUITY</t>
  </si>
  <si>
    <t>Cumulative FCF</t>
  </si>
  <si>
    <t>V3 GRAND MADURAI | EBITDA &amp; CF — Phased | Base Case Analysis</t>
  </si>
  <si>
    <t>EBITDA &amp; CASH FLOW — PHASED</t>
  </si>
  <si>
    <t>P&amp;L, Free Cash Flow &amp; Debt Service · 72 Keys</t>
  </si>
  <si>
    <t>Total Revenue (Phased)</t>
  </si>
  <si>
    <t>(+) Depreciation</t>
  </si>
  <si>
    <t>(-) Phase 2 CAPEX</t>
  </si>
  <si>
    <t>Cumulative FCF (net of ₹43.0 Cr total)</t>
  </si>
  <si>
    <t>RETURNS ANALYSIS</t>
  </si>
  <si>
    <t>IRR, NPV, Payback &amp; Sensitivity · Phase 1 vs Phased</t>
  </si>
  <si>
    <t>PHASE 1 ONLY (55 KEYS) — ₹35.7 Cr Investment</t>
  </si>
  <si>
    <t>MULTI-VARIABLE SENSITIVITY ANALYSIS</t>
  </si>
  <si>
    <t>Year 0</t>
  </si>
  <si>
    <t>NPV Sensitivity to Key Variables (₹ Cr)</t>
  </si>
  <si>
    <t>(included in EBITDA — net of reserves)</t>
  </si>
  <si>
    <t>Exit Value (13.4x Year 10 EBITDA)</t>
  </si>
  <si>
    <t>Occupancy ↓ / ADR →</t>
  </si>
  <si>
    <t>+15%</t>
  </si>
  <si>
    <t>Net Cash Flow</t>
  </si>
  <si>
    <t>KEY METRICS</t>
  </si>
  <si>
    <t>Base (78%)</t>
  </si>
  <si>
    <t>⚠️ MARGINAL (17.6% vs 17.5%)</t>
  </si>
  <si>
    <t>Payback Period (Years)</t>
  </si>
  <si>
    <t>(Extended due to realistic occupancy)</t>
  </si>
  <si>
    <t>Exit Value</t>
  </si>
  <si>
    <t>(Risk-Adjusted WACC)</t>
  </si>
  <si>
    <t>PHASED EXPANSION (55→72 KEYS) — ₹43.0 Cr Total Investment</t>
  </si>
  <si>
    <t>CAPEX ↓ / Margin →</t>
  </si>
  <si>
    <t>-2%</t>
  </si>
  <si>
    <t>Base (40.4%)</t>
  </si>
  <si>
    <t>+2%</t>
  </si>
  <si>
    <t>+4%</t>
  </si>
  <si>
    <t>+20%</t>
  </si>
  <si>
    <t>Base (₹43 Cr)</t>
  </si>
  <si>
    <t>Exit Value (10.5x Year 10 EBITDA)</t>
  </si>
  <si>
    <t>⚠️ MARGINAL (17.8% vs 17.5%)</t>
  </si>
  <si>
    <t>Rev Growth ↓ / OpEx →</t>
  </si>
  <si>
    <t>-4%</t>
  </si>
  <si>
    <t>(~1.5 years longer than original estimate)</t>
  </si>
  <si>
    <t>Exit Value (12x EBITDA)</t>
  </si>
  <si>
    <t>Base (5%)</t>
  </si>
  <si>
    <t>TERMINAL VALUE — GORDON GROWTH MODEL</t>
  </si>
  <si>
    <t>Year 10 EBITDA (Phased)</t>
  </si>
  <si>
    <t>Terminal Growth Rate</t>
  </si>
  <si>
    <t>WACC</t>
  </si>
  <si>
    <t>Terminal Value (Gordon Growth)</t>
  </si>
  <si>
    <t>PV of Terminal Value</t>
  </si>
  <si>
    <t>KEY ASSUMPTIONS (BASE CASE)</t>
  </si>
  <si>
    <t>Implied Exit Multiple</t>
  </si>
  <si>
    <t>Assumption</t>
  </si>
  <si>
    <t>⚠️ CRITICAL MODEL UPDATES - REALISTIC ASSUMPTIONS</t>
  </si>
  <si>
    <t>₹43.0 Cr</t>
  </si>
  <si>
    <t>Original Optimistic vs. Revised Reality-Based Model</t>
  </si>
  <si>
    <t>Stabilized ADR (₹) →</t>
  </si>
  <si>
    <t>Occupancy ↓</t>
  </si>
  <si>
    <t>+17 (Month 43)</t>
  </si>
  <si>
    <t>Assumption Changed</t>
  </si>
  <si>
    <t>Board Implication</t>
  </si>
  <si>
    <t>78%</t>
  </si>
  <si>
    <t>Hurdle Rate / Discount</t>
  </si>
  <si>
    <t>12.0% → 17.5% (+5.5 pp)</t>
  </si>
  <si>
    <t>Proper WACC: Indian hotel comps + country/size/project risk</t>
  </si>
  <si>
    <t>Stabilized ADR</t>
  </si>
  <si>
    <t>65% → 40% (-25 pp)</t>
  </si>
  <si>
    <t>Realistic new hotel ramp (industry: 30-40% Y1, 50-55% Y2)</t>
  </si>
  <si>
    <t>Year 2 Occupancy</t>
  </si>
  <si>
    <t>70% → 60% (-10 pp)</t>
  </si>
  <si>
    <t>Gradual market penetration vs instant success</t>
  </si>
  <si>
    <t>Exit Multiple</t>
  </si>
  <si>
    <t>12x EBITDA</t>
  </si>
  <si>
    <t>Anchor MOU Realization</t>
  </si>
  <si>
    <t>100% Day 1 → 70%/85%/100%</t>
  </si>
  <si>
    <t>Phased partnership ramp-up (realistic activation)</t>
  </si>
  <si>
    <t>Project Life</t>
  </si>
  <si>
    <t>10 years</t>
  </si>
  <si>
    <t>FINANCIAL IMPACT OF REALISTIC ASSUMPTIONS</t>
  </si>
  <si>
    <t>Phase 2 Trigger</t>
  </si>
  <si>
    <t>Yes (8/8 gates)</t>
  </si>
  <si>
    <t>Phase 1 NPV @ 17.5%</t>
  </si>
  <si>
    <t>₹15.9 Cr → ₹0.23 Cr (-98.5%)</t>
  </si>
  <si>
    <t>Project now MARGINALLY viable. Near-zero value creation</t>
  </si>
  <si>
    <t>Phased NPV @ 17.5%</t>
  </si>
  <si>
    <t>₹15.9 Cr → ₹0.69 Cr (-95.7%)</t>
  </si>
  <si>
    <t>Returns compressed. Minimal margin of safety</t>
  </si>
  <si>
    <t>IRR Margin Over Hurdle</t>
  </si>
  <si>
    <t>Phase 1: 0.1 pp | Phased: 0.3 pp</t>
  </si>
  <si>
    <t>⚠️ CRITICAL: No margin for error. Any variance fails hurdle</t>
  </si>
  <si>
    <t>7.8 yrs → 9-10 yrs (+2 yrs)</t>
  </si>
  <si>
    <t>Extended capital recovery = higher risk exposure</t>
  </si>
  <si>
    <t>&gt;2.0x</t>
  </si>
  <si>
    <t>⚠️ BOARD RECOMMENDATION - REVISED</t>
  </si>
  <si>
    <t>&gt;₹0</t>
  </si>
  <si>
    <t>Project NO LONGER meets 'Strong Buy' criteria under realistic assumptions. Recommendation: CONDITIONAL APPROVAL pending 3-star 'Lite' alternative OR DEFER until market improves. Current 4-star positioning over-specified for Tier-II demand.</t>
  </si>
  <si>
    <t>BREAK-EVEN ANALYSIS</t>
  </si>
  <si>
    <t>Break-Even Metric</t>
  </si>
  <si>
    <t>Phase 1</t>
  </si>
  <si>
    <t>Break-Even Occupancy (at Base ADR)</t>
  </si>
  <si>
    <t>52.3%</t>
  </si>
  <si>
    <t>48.7%</t>
  </si>
  <si>
    <t>OpEx coverage only</t>
  </si>
  <si>
    <t>Break-Even ADR (at Base Occ)</t>
  </si>
  <si>
    <t>₹3,240</t>
  </si>
  <si>
    <t>₹3,180</t>
  </si>
  <si>
    <t>Cash Break-Even Occupancy</t>
  </si>
  <si>
    <t>61.5%</t>
  </si>
  <si>
    <t>57.2%</t>
  </si>
  <si>
    <t>OpEx + Debt Service</t>
  </si>
  <si>
    <t>IRR = 12% Occupancy</t>
  </si>
  <si>
    <t>68.5%</t>
  </si>
  <si>
    <t>71.8%</t>
  </si>
  <si>
    <t>Hurdle rate achievement</t>
  </si>
  <si>
    <t>IRR = 12% ADR</t>
  </si>
  <si>
    <t>₹4,280</t>
  </si>
  <si>
    <t>₹4,520</t>
  </si>
  <si>
    <t>Zero NPV Occupancy</t>
  </si>
  <si>
    <t>64.2%</t>
  </si>
  <si>
    <t>62.8%</t>
  </si>
  <si>
    <t>Value breakeven</t>
  </si>
  <si>
    <t>Exit Multiple for IRR = 15%</t>
  </si>
  <si>
    <t>10.2x</t>
  </si>
  <si>
    <t>9.8x</t>
  </si>
  <si>
    <t>Sensitivity to exit</t>
  </si>
  <si>
    <t>NPV PROFILE BY DISCOUNT RATE</t>
  </si>
  <si>
    <t>Discount Rate</t>
  </si>
  <si>
    <t>Phase 1 NPV (₹ Cr)</t>
  </si>
  <si>
    <t>Phased NPV (₹ Cr)</t>
  </si>
  <si>
    <t>Spread (₹ Cr)</t>
  </si>
  <si>
    <t>8%</t>
  </si>
  <si>
    <t>10%</t>
  </si>
  <si>
    <t>14%</t>
  </si>
  <si>
    <t>16%</t>
  </si>
  <si>
    <t>17.8% (IRR)</t>
  </si>
  <si>
    <t>18%</t>
  </si>
  <si>
    <t>INVESTMENT DECISION MATRIX</t>
  </si>
  <si>
    <t>Difference</t>
  </si>
  <si>
    <t>Winner</t>
  </si>
  <si>
    <t>Weight</t>
  </si>
  <si>
    <t>Score</t>
  </si>
  <si>
    <t>17.6%</t>
  </si>
  <si>
    <t>+0.2%</t>
  </si>
  <si>
    <t>₹15.6 Cr</t>
  </si>
  <si>
    <t>₹17.1 Cr</t>
  </si>
  <si>
    <t>+₹1.5 Cr</t>
  </si>
  <si>
    <t>30%</t>
  </si>
  <si>
    <t>3.62x</t>
  </si>
  <si>
    <t>3.84x</t>
  </si>
  <si>
    <t>+0.22x</t>
  </si>
  <si>
    <t>15%</t>
  </si>
  <si>
    <t>8.2 yrs</t>
  </si>
  <si>
    <t>-0.4 yrs</t>
  </si>
  <si>
    <t>Risk/Complexity</t>
  </si>
  <si>
    <t>+1 level</t>
  </si>
  <si>
    <t>5%</t>
  </si>
  <si>
    <t>TOTAL WEIGHTED SCORE</t>
  </si>
  <si>
    <t>Phased Wins</t>
  </si>
  <si>
    <t>95%</t>
  </si>
  <si>
    <t>V3 GRAND MADURAI | Scenario Stress Test | Base Case Analysis</t>
  </si>
  <si>
    <t>📊 MODEL UPDATED: Feb 2026 - Now using 17.5% hurdle rate (proper WACC) vs. prior 12%</t>
  </si>
  <si>
    <t>Bear case occupancy updated to realistic ramp: 35-40% Y1, 50-55% Y2, 60-65% Y3+</t>
  </si>
  <si>
    <t>SCENARIO STRESS TEST</t>
  </si>
  <si>
    <t>Bear (20%) · Base (60%) · Bull (20%) · Probability-Weighted</t>
  </si>
  <si>
    <t>SCENARIO COMPARISON</t>
  </si>
  <si>
    <t>Probability Weight</t>
  </si>
  <si>
    <t>35-40% Y1→60-65% Y3+</t>
  </si>
  <si>
    <t>75-78%</t>
  </si>
  <si>
    <t>80-83%</t>
  </si>
  <si>
    <t>₹6,000</t>
  </si>
  <si>
    <t>60% of target</t>
  </si>
  <si>
    <t>100% of target</t>
  </si>
  <si>
    <t>120%+ of target</t>
  </si>
  <si>
    <t>No (stays at 55 keys)</t>
  </si>
  <si>
    <t>Yes (72 keys)</t>
  </si>
  <si>
    <t>Competitive Risk</t>
  </si>
  <si>
    <t>Residency Tower expands</t>
  </si>
  <si>
    <t>Status quo</t>
  </si>
  <si>
    <t>No new entrants</t>
  </si>
  <si>
    <t>RETURNS METRICS</t>
  </si>
  <si>
    <t>⚠️ MARGINAL (9.5-10.0 yrs)</t>
  </si>
  <si>
    <t>✅ PASS (9.2 yrs)</t>
  </si>
  <si>
    <t>✅ PASS (8.8 yrs)</t>
  </si>
  <si>
    <t>❌ FAIL (1.95x &lt; 2.0x)</t>
  </si>
  <si>
    <t>PROBABILITY-WEIGHTED EXPECTED IRR</t>
  </si>
  <si>
    <t>(vs. 12% hurdle rate)</t>
  </si>
  <si>
    <t>BEAR CASE SAFETY NET</t>
  </si>
  <si>
    <t>Even in bear case, IRR of 14.3% exceeds 12% hurdle rate</t>
  </si>
  <si>
    <t>IRR &gt; 17.5% (Proper Hurdle)</t>
  </si>
  <si>
    <t>❌ FAIL (14.3% &lt; 17.5%)</t>
  </si>
  <si>
    <t>✅ PASS (22.9% &gt;&gt; 17.5%)</t>
  </si>
  <si>
    <t>Anchor partnerships provide 8-11% occupancy floor</t>
  </si>
  <si>
    <t>Phase 2 NOT triggered in bear case — limits downside exposure</t>
  </si>
  <si>
    <t>Medical tourism provides counter-cyclical demand stability</t>
  </si>
  <si>
    <t>Owner-operator model saves ₹30L/year vs. external GM</t>
  </si>
  <si>
    <t>10-YEAR REVENUE TRAJECTORY BY SCENARIO (₹ Crore)</t>
  </si>
  <si>
    <t>Bear Case (55 keys)</t>
  </si>
  <si>
    <t>Base Case (72 keys)</t>
  </si>
  <si>
    <t>Bull Case (72 keys)</t>
  </si>
  <si>
    <t>DECISION CRITERIA BY SCENARIO</t>
  </si>
  <si>
    <t>❌ FAIL (₹-2.0 Cr)</t>
  </si>
  <si>
    <t>✅ PASS (₹0.69 Cr)</t>
  </si>
  <si>
    <t>✅ PASS (₹18.5 Cr)</t>
  </si>
  <si>
    <t>✅ PASS (₹3.5 Cr)</t>
  </si>
  <si>
    <t>Payback &lt; 10 yrs</t>
  </si>
  <si>
    <t>Multiple &gt; 2x</t>
  </si>
  <si>
    <t>EBITDA &gt; 35%</t>
  </si>
  <si>
    <t>⚠️ CRITICAL IMPLICATIONS OF RESTRUCTURED MODEL</t>
  </si>
  <si>
    <t>• Bear case now fails on 3 criteria: NPV negative (₹-2.0 Cr), IRR below hurdle (14.3% &lt; 17.5%), Return Multiple &lt; 2.0x</t>
  </si>
  <si>
    <t>• Base case marginally viable: NPV only ₹0.69 Cr (was ₹15.9 Cr @ 12%), IRR margin only 0.3 percentage points above hurdle</t>
  </si>
  <si>
    <t>• Expected NPV dropped 77% from ₹15.0 Cr to ₹3.5 Cr due to corrected 17.5% hurdle rate</t>
  </si>
  <si>
    <t>• Risk profile: HIGH - Any underperformance vs Base case results in investment hurdle failures</t>
  </si>
  <si>
    <t>• Recommendation: Conditional approval with mandatory performance gates and cost controls</t>
  </si>
  <si>
    <t>SCENARIO RECOMMENDATIONS</t>
  </si>
  <si>
    <t>❌ NOT VIABLE - Fails multiple hurdles</t>
  </si>
  <si>
    <t>Recommended - Balanced risk/return</t>
  </si>
  <si>
    <t>⚠️ CONDITIONAL - Marginal returns</t>
  </si>
  <si>
    <t>Optimistic - High return, low probability</t>
  </si>
  <si>
    <t>Operating Model Decision Framework</t>
  </si>
  <si>
    <t>CF Helpers (hidden)</t>
  </si>
  <si>
    <t>Independent vs IHG vs IHCL Taj vs Marriott vs Lemon Tree</t>
  </si>
  <si>
    <t>OPERATING MODEL COMPARISON</t>
  </si>
  <si>
    <t>Dimension</t>
  </si>
  <si>
    <t>1. Independent Owner-Operated (Selected ✓)</t>
  </si>
  <si>
    <t>2. IHG / Wyndham Franchise</t>
  </si>
  <si>
    <t>3. IHCL (Taj) / ITC Mgmt Contract</t>
  </si>
  <si>
    <t>4. Marriott / Hyatt Mgmt Contract</t>
  </si>
  <si>
    <t>5. Lemon Tree / Keys Select (Franchise-Lite)</t>
  </si>
  <si>
    <t>Minimum Key Requirement</t>
  </si>
  <si>
    <t>No minimum — any size</t>
  </si>
  <si>
    <t>IHG Holiday Inn Express: 75+ keys; Wyndham Ramada: 50+ keys — 72 keys QUALIFIES</t>
  </si>
  <si>
    <t>Taj/Vivanta: 100+ keys; Ginger (IHCL budget): 80+ keys — 72 keys DOES NOT QUALIFY for Taj; marginal for Ginger</t>
  </si>
  <si>
    <t>Marriott Courtyard/Fairfield: 100+ keys; Hyatt Place: 100+ keys — 72 keys DOES NOT QUALIFY</t>
  </si>
  <si>
    <t>Lemon Tree: 50+ keys; Keys Select: 40+ keys — 72 keys QUALIFIES easily</t>
  </si>
  <si>
    <t>Fee Structure</t>
  </si>
  <si>
    <t>₹0 — Zero recurring fees to any brand or operator</t>
  </si>
  <si>
    <t>IHG: 5% royalty + 2.5% marketing + 1% reservation = 8.5% of gross room revenue; Wyndham: 4.5% royalty + 2% marketing = 6.5%</t>
  </si>
  <si>
    <t>IHCL base fee: 2.5% of total revenue + incentive fee: 8-10% of GOP (Gross Operating Profit) + technical services: 1-2% of revenue + marketing: 2%</t>
  </si>
  <si>
    <t>Marriott base: 3% of total revenue + incentive: 8-10% of GOP + system/loyalty: 5.5% of room revenue + marketing: 1.5% of revenue</t>
  </si>
  <si>
    <t>Lemon Tree: 3% of revenue + 1.5% marketing = 4.5% total; Keys Select: similar structure</t>
  </si>
  <si>
    <t>Total Fee Burden (@ ₹15 Cr stabilized revenue)</t>
  </si>
  <si>
    <t>₹0 per year</t>
  </si>
  <si>
    <t>₹0.98 - 1.28 Cr/year (6.5-8.5% of room revenue ≈ 70% of ₹15 Cr)</t>
  </si>
  <si>
    <t>₹1.47 - 1.98 Cr/year (base 2.5% + incentive 8% of 40% GOP + tech/mktg 3%)</t>
  </si>
  <si>
    <t>₹1.80 - 2.25 Cr/year (base 3% + incentive 10% of GOP + system 5.5% room rev + mktg)</t>
  </si>
  <si>
    <t>₹0.68 Cr/year (4.5% of total revenue)</t>
  </si>
  <si>
    <t>Effective EBITDA Margin (after all fees)</t>
  </si>
  <si>
    <t>40.4% — full operating profit retained</t>
  </si>
  <si>
    <t>33 - 36% (margin eroded by 4-7% from fees on gross revenue)</t>
  </si>
  <si>
    <t>30 - 33% (base + incentive + technical fees compound heavily)</t>
  </si>
  <si>
    <t>27 - 31% (Marriott has highest all-in fee load among global chains)</t>
  </si>
  <si>
    <t>36 - 38% (lightest fee structure among branded options)</t>
  </si>
  <si>
    <t>Upfront Brand Investment (PIP / Standards)</t>
  </si>
  <si>
    <t>₹0 — build to own standards</t>
  </si>
  <si>
    <t>₹0.60 - 1.20 Cr PIP compliance (technology systems, signage, amenity standards, brand-mandated F&amp;B concepts)</t>
  </si>
  <si>
    <t>₹1.50 - 2.50 Cr (Taj/Vivanta design mandates, imported finishes, brand F&amp;B kitchen specs, central HVAC upgrades)</t>
  </si>
  <si>
    <t>₹2.00 - 3.50 Cr (Marriott MEP specs, Bonvoy technology integration, brand-approved FF&amp;E suppliers, F&amp;B design)</t>
  </si>
  <si>
    <t>₹0.30 - 0.60 Cr (lighter standards, Indian supply chain, minimal technology mandates)</t>
  </si>
  <si>
    <t>Contract Term &amp; Exit Provisions</t>
  </si>
  <si>
    <t>None — full operational freedom, can brand later</t>
  </si>
  <si>
    <t>IHG: 10-year initial + 5-year renewal; Wyndham: 10-15 years; exit penalty: 3-5 years of fees (₹3-6 Cr); PIP refresh every 5 years</t>
  </si>
  <si>
    <t>IHCL: 15-20 years; exit requires 24-month notice + liquidated damages of 2-3 years fees; change of ownership triggers consent clause</t>
  </si>
  <si>
    <t>Marriott: 20-25 years (longest in industry); exit penalty: up to 5 years of projected fees (₹9-11 Cr); performance test: only after Year 5, narrow cure periods</t>
  </si>
  <si>
    <t>Lemon Tree: 8-10 years; more flexible exit with 12-month notice; renewal at mutual option</t>
  </si>
  <si>
    <t>Distribution &amp; Loyalty Program</t>
  </si>
  <si>
    <t>Zero — 100% reliance on OTAs (MakeMyTrip, Booking.com, Goibibo, Agoda) + direct; build own website/app over time</t>
  </si>
  <si>
    <t>IHG Rewards: 100M+ members globally, ~2M India; Wyndham Rewards: 110M members; GDS connectivity; corporate RFP access</t>
  </si>
  <si>
    <t>IHCL Epicure + Taj InnerCircle: 3.5M+ members; strong domestic corporate loyalty; government/PSU preferred lists</t>
  </si>
  <si>
    <t>Marriott Bonvoy: 200M+ members globally, ~8M India — STRONGEST loyalty program; dominant on global corporate RFP mandates</t>
  </si>
  <si>
    <t>Lemon Tree Smiles: 1M+ members; growing domestic base; limited international reach; strong OTA presence</t>
  </si>
  <si>
    <t>Expected Occupancy / ADR Impact vs Independent</t>
  </si>
  <si>
    <t>Baseline: 78% stabilized, ₹5,000 ADR (model assumptions)</t>
  </si>
  <si>
    <t>+3-5% occupancy, +₹200-400 ADR in Tier-2; net benefit diluted by fees; stronger effect in metro cities than Madurai</t>
  </si>
  <si>
    <t>+5-8% occupancy, +₹800-1,200 ADR (Taj/Vivanta brand commands premium); BUT 72 keys disqualifies for Taj-branded property</t>
  </si>
  <si>
    <t>+5-10% occupancy, +₹500-1,000 ADR (Bonvoy drives demand); BUT 72 keys below Marriott minimum; Madurai has limited Bonvoy traffic</t>
  </si>
  <si>
    <t>+2-4% occupancy, +₹100-200 ADR; Lemon Tree well-known in India but positioned lower (₹3,000-4,500 ADR range)</t>
  </si>
  <si>
    <t>Owner Control &amp; Decision Authority</t>
  </si>
  <si>
    <t>Full — owner sets pricing, selects staff, controls brand identity, procurement, renovation timing, and operational strategy</t>
  </si>
  <si>
    <t>Moderate — owner operates but must comply with brand standards (amenities, technology, design); owner selects GM subject to brand approval</t>
  </si>
  <si>
    <t>Low — IHCL appoints GM and senior management; owner has limited say on hiring, pricing, procurement; monthly reporting mandated</t>
  </si>
  <si>
    <t>Very Low — Marriott controls all ops, appoints GM, sets pricing via revenue management, mandates approved vendor lists, requires brand-approved capex</t>
  </si>
  <si>
    <t>Moderate-High — owner operates; Lemon Tree provides SOP framework + training; owner retains pricing and staffing control</t>
  </si>
  <si>
    <t>Madurai Market Fit (Tier-2 Assessment)</t>
  </si>
  <si>
    <t>STRONGEST FIT — No direct 4-star competitor; ₹4,000-5,000 ADR sweet spot; owner knows local demand drivers; medical/corporate MOUs replace brand distribution</t>
  </si>
  <si>
    <t>MODERATE FIT — Holiday Inn Express works in Tier-2 India (Amritsar, Goa examples); but 8.5% fee load heavy at Madurai ADRs; limited IHG loyalty traffic in city</t>
  </si>
  <si>
    <t>DOES NOT FIT — 72 keys below Taj/Vivanta minimum (100+); Ginger is budget positioning (₹2,500-3,500 ADR) which conflicts with 4-star target; IHCL unlikely to accept Madurai deal</t>
  </si>
  <si>
    <t>DOES NOT FIT — 72 keys below Marriott minimum (100+); Marriott would not consider this property size; Madurai is not a Bonvoy-priority market</t>
  </si>
  <si>
    <t>MODERATE FIT — Keys Select brand aligns with Tier-2; but ₹3,000-4,000 ADR positioning is BELOW target; would cannibalize premium 4-star positioning</t>
  </si>
  <si>
    <t>Track Record in Indian Tier-2</t>
  </si>
  <si>
    <t>Numerous successful independents in Tier-2 (GRT Grand Madurai, Regenta Central Madurai, Hotel Sangam); local operator knowledge is competitive advantage</t>
  </si>
  <si>
    <t>IHG: Holiday Inn Express Amritsar, Jaipur, Nashik — mixed results; Wyndham Ramada: present in Lucknow, Udaipur — moderate success with value segment</t>
  </si>
  <si>
    <t>IHCL Ginger: 80+ hotels pan-India including Tier-2/3; Vivanta: limited to Tier-1 and major tourist cities; no Taj/Vivanta in Madurai currently</t>
  </si>
  <si>
    <t>Marriott: Fairfield by Marriott in Lucknow, Amritsar; limited Tier-2 penetration; focus remains metro/resort markets; no Marriott brand in Madurai</t>
  </si>
  <si>
    <t>Lemon Tree: 90+ hotels including 30+ in Tier-2/3 cities; Keys Select in Ludhiana, Thiruvananthapuram — strongest Tier-2 presence among chains</t>
  </si>
  <si>
    <t>Key Risk for V3 Grand Madurai</t>
  </si>
  <si>
    <t>OTA dependency (60-70% initially); quality consistency without brand SOPs; talent retention in Madurai labor market; building reputation from zero</t>
  </si>
  <si>
    <t>Fee erosion makes ₹4,000-5,000 ADR hotel marginal; PIP refresh cost every 5 years (₹0.5-1 Cr); brand may underperform vs fees in Tier-2</t>
  </si>
  <si>
    <t>DISQUALIFIED on key count (72 &lt; 100 minimum); even if accepted, fee structure would destroy 40% of operating profit; 15-20 year lock-in unacceptable</t>
  </si>
  <si>
    <t>DISQUALIFIED on key count (72 &lt; 100 minimum); Marriott's fee structure is highest in industry; 20-25 year lock-in severely impairs exit flexibility</t>
  </si>
  <si>
    <t>ADR positioning mismatch — Lemon Tree's ₹3,000-4,000 ADR range undercuts the 4-star premium positioning; would limit revenue upside</t>
  </si>
  <si>
    <t>10-YEAR FINANCIAL IMPACT BY OPERATING MODEL (₹ Crore, Phased 72-Key Basis, Base Case)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</si>
  <si>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</si>
  <si>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</si>
  <si>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</si>
  <si>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</si>
  <si>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</si>
  <si>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</si>
  <si>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</si>
  <si>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</si>
  <si>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</si>
  <si>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</si>
  <si>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Base Revenue (all models)</t>
  </si>
  <si>
    <t>MODEL 1: INDEPENDENT (SELECTED ✓)</t>
  </si>
  <si>
    <t xml:space="preserve">  Franchise / Mgmt Fees</t>
  </si>
  <si>
    <t xml:space="preserve">  EBITDA Margin</t>
  </si>
  <si>
    <t xml:space="preserve">  EBITDA</t>
  </si>
  <si>
    <t>MODEL 2: IHG FRANCHISE (Holiday Inn Express — 8.5% of room revenue)</t>
  </si>
  <si>
    <t xml:space="preserve">  Revenue (with brand premium)</t>
  </si>
  <si>
    <t xml:space="preserve">  (-) IHG Fees (8.5% of room rev = 5.95% of total)</t>
  </si>
  <si>
    <t xml:space="preserve">  (-) PIP Compliance (₹0.90 Cr amortized)</t>
  </si>
  <si>
    <t xml:space="preserve">  EBITDA (net of IHG fees)</t>
  </si>
  <si>
    <t xml:space="preserve">  Effective EBITDA Margin</t>
  </si>
  <si>
    <t>MODEL 3: IHCL TAJ / VIVANTA (Mgmt Contract) — ⚠ DISQUALIFIED: 72 keys &lt; 100 min</t>
  </si>
  <si>
    <t xml:space="preserve">  (-) IHCL Base Fee (2.5% of revenue)</t>
  </si>
  <si>
    <t xml:space="preserve">  (-) Incentive Fee (8% of GOP)</t>
  </si>
  <si>
    <t xml:space="preserve">  (-) Tech Services + Marketing (3.5% of revenue)</t>
  </si>
  <si>
    <t xml:space="preserve">  (-) Brand Standard CAPEX (₹2.0 Cr amortized)</t>
  </si>
  <si>
    <t xml:space="preserve">  (-) GM Cost (no owner-operator saving — ₹30L/yr)</t>
  </si>
  <si>
    <t xml:space="preserve">  EBITDA (net of IHCL fees)</t>
  </si>
  <si>
    <t>MODEL 4: MARRIOTT / HYATT (Mgmt Contract) — ⚠ DISQUALIFIED: 72 keys &lt; 100 min</t>
  </si>
  <si>
    <t xml:space="preserve">  Revenue (with Bonvoy premium +8%)</t>
  </si>
  <si>
    <t xml:space="preserve">  (-) Marriott Base Fee (3% of total revenue)</t>
  </si>
  <si>
    <t xml:space="preserve">  (-) Incentive Fee (10% of GOP)</t>
  </si>
  <si>
    <t xml:space="preserve">  (-) System/Loyalty + Mktg (7% of room rev)</t>
  </si>
  <si>
    <t xml:space="preserve">  (-) Brand CAPEX (₹2.75 Cr amortized) + GM Cost</t>
  </si>
  <si>
    <t xml:space="preserve">  EBITDA (net of Marriott fees)</t>
  </si>
  <si>
    <t>MODEL 5: LEMON TREE / KEYS SELECT (Franchise-Lite — 4.5% of total revenue)</t>
  </si>
  <si>
    <t xml:space="preserve">  Revenue (REDUCED — Lemon Tree ADR ₹3,000-4,000 = -10%)</t>
  </si>
  <si>
    <t xml:space="preserve">  (-) Lemon Tree Fees (4.5% of total revenue)</t>
  </si>
  <si>
    <t xml:space="preserve">  (-) PIP Compliance (₹0.45 Cr amortized)</t>
  </si>
  <si>
    <t xml:space="preserve">  EBITDA (net of Lemon Tree fees)</t>
  </si>
  <si>
    <t>1. Independent ✓</t>
  </si>
  <si>
    <t>2. IHG Franchise</t>
  </si>
  <si>
    <t>3. IHCL Taj (DISQ.)</t>
  </si>
  <si>
    <t>4. Marriott (DISQ.)</t>
  </si>
  <si>
    <t>5. Lemon Tree</t>
  </si>
  <si>
    <t>Board Hurdle</t>
  </si>
  <si>
    <t>10-Year Cumulative EBITDA (₹ Cr)</t>
  </si>
  <si>
    <t>10-Year Fee Leakage (₹ Cr)</t>
  </si>
  <si>
    <t>Exit Value @ 12x (₹ Cr)</t>
  </si>
  <si>
    <t>Total Investment (₹ Cr)</t>
  </si>
  <si>
    <t>10-YEAR IRR</t>
  </si>
  <si>
    <t>IRR Drag from Fees (vs Independent)</t>
  </si>
  <si>
    <t>Passes 12% Board Hurdle?</t>
  </si>
  <si>
    <t>STRATEGIC ASSESSMENT — BRAND-SPECIFIC ANALYSIS</t>
  </si>
  <si>
    <t>Factor</t>
  </si>
  <si>
    <t>3. IHCL Taj/Vivanta</t>
  </si>
  <si>
    <t>4. Marriott/Hyatt</t>
  </si>
  <si>
    <t>5. Lemon Tree/Keys</t>
  </si>
  <si>
    <t>STRENGTHS</t>
  </si>
  <si>
    <t>Cost Efficiency</t>
  </si>
  <si>
    <t>BEST: 40.4% EBITDA margin; ₹0 fee leakage over 10 years; owner-operator saves ₹30L/yr vs hired GM; full procurement control</t>
  </si>
  <si>
    <t>33-36% EBITDA after 8.5% room revenue fee; ₹0.9 Cr PIP upfront; IHG procurement mandates may increase costs 5-10%</t>
  </si>
  <si>
    <t>27-33% EBITDA after base+incentive+tech fees; ₹2 Cr brand CAPEX; hired GM costs ₹30-50L/yr; Taj mandates imported finishes</t>
  </si>
  <si>
    <t>WORST: 21-26% EBITDA; 3% base + 10% incentive + 7% system fees stack to ~20% of revenue; ₹2.75 Cr brand CAPEX; Marriott-mandated vendors</t>
  </si>
  <si>
    <t>36-38% EBITDA; lightest fee structure (4.5%); ₹0.45 Cr PIP; Indian supply chain keeps costs low; BUT ADR reduction offsets savings</t>
  </si>
  <si>
    <t>Distribution &amp; Demand</t>
  </si>
  <si>
    <t>Must build direct: MakeMyTrip, Booking.com, Google Hotels; offset by 160-212 MOU room-nights/month from medical+corporate anchors</t>
  </si>
  <si>
    <t>IHG Rewards (100M members) + GDS access; Holiday Inn Express well-known in India; BUT limited IHG loyalty traffic in Madurai specifically</t>
  </si>
  <si>
    <t>Taj InnerCircle (3.5M members); strongest domestic corporate loyalty; IHCL government/PSU preferred vendor lists; strong for medical tourism premium</t>
  </si>
  <si>
    <t>Marriott Bonvoy (200M members, 8M India); DOMINANT on global corporate RFP mandates; strongest distribution globally; BUT Madurai is not Bonvoy-priority market</t>
  </si>
  <si>
    <t>Lemon Tree Smiles (1M+ members); growing domestic base; strong OTA presence in Tier-2; BUT limited international reach; lower brand cachet</t>
  </si>
  <si>
    <t>Madurai Market Fit</t>
  </si>
  <si>
    <t>STRONGEST: No 4-star competitor; owner knows local medical/corporate/temple demand; ₹4,000-5,000 ADR sweet spot; anchor MOUs replace brand distribution</t>
  </si>
  <si>
    <t>MODERATE: Holiday Inn Express format works in Tier-2 (Amritsar, Nashik precedents); BUT 8.5% fees heavy at Madurai ADRs; limited IHG loyalty presence</t>
  </si>
  <si>
    <t>DOES NOT FIT: 72 keys &lt; 100 key minimum; Vivanta only in Tier-1/resort; Ginger is budget brand (₹2,500-3,500 ADR) — conflicts with 4-star positioning</t>
  </si>
  <si>
    <t>DOES NOT FIT: 72 keys &lt; 100 key minimum for Fairfield/Courtyard/Hyatt Place; Marriott has no existing Madurai presence; Bonvoy traffic negligible in city</t>
  </si>
  <si>
    <t>MODERATE: Keys Select works in Tier-2 (Ludhiana, Thiruvananthapuram); BUT positions at ₹3,000-4,000 ADR — BELOW target; would cannibalize 4-star premium</t>
  </si>
  <si>
    <t>WEAKNESSES</t>
  </si>
  <si>
    <t>Key Vulnerabilities</t>
  </si>
  <si>
    <t>OTA dependency 60-70% initially; no brand quality framework; talent harder to attract without brand name; reputation must be built from zero</t>
  </si>
  <si>
    <t>Fee erosion on already-thin Tier-2 margins; PIP refresh ₹0.5-1 Cr every 5 years; IHG may mandate room renovation cycles; limited flexibility on F&amp;B</t>
  </si>
  <si>
    <t>DISQUALIFIED: 72 keys below 100-key minimum; even hypothetically — IHCL fees absorb 30-40% of GOP; 15-20 year lock-in; brand controls pricing/staffing/procurement</t>
  </si>
  <si>
    <t>DISQUALIFIED: 72 keys below 100-key minimum; highest fee burden in industry (~20% of revenue); 20-25 year lock-in; exit penalty up to ₹9-11 Cr; loss of all operational control</t>
  </si>
  <si>
    <t>ADR REDUCTION: Lemon Tree brand positions property at ₹3,000-4,000 — permanently caps revenue upside; 8-10 year lock-in; may conflict with premium medical tourism positioning</t>
  </si>
  <si>
    <t>Exit &amp; Flexibility</t>
  </si>
  <si>
    <t>BEST: No contractual lock-in; can sell property freely; can add brand later at Year 3-5 if needed; full optionality preserved</t>
  </si>
  <si>
    <t>10-15 year term; exit penalty 3-5 years of fees (₹3-6 Cr); PIP compliance transfers to buyer; franchise can be terminated but brand infrastructure wasted</t>
  </si>
  <si>
    <t>15-20 year term; 24-month notice + 2-3 years liquidated damages; change of ownership requires IHCL consent; severely limits exit flexibility</t>
  </si>
  <si>
    <t>20-25 year term (LONGEST); exit penalty up to 5 years projected fees (₹9-11 Cr); performance test only after Year 5 with narrow cure; property effectively locked</t>
  </si>
  <si>
    <t>8-10 year term (SHORTEST); 12-month notice; moderate exit flexibility; renewal at mutual option; BUT ADR reputation damage persists after de-branding</t>
  </si>
  <si>
    <t>INVESTMENT COMMITTEE RECOMMENDATION</t>
  </si>
  <si>
    <t>VERDICT: INDEPENDENT OWNER-OPERATED MODEL (Model 1) IS THE OPTIMAL CHOICE</t>
  </si>
  <si>
    <t>1. ELIMINATORY CRITERION — Minimum Key Count</t>
  </si>
  <si>
    <t>Marriott (Fairfield/Courtyard) and IHCL (Taj/Vivanta) BOTH require minimum 100 keys for Tier-2 India. V3 Grand Madurai at 72 keys is categorically ineligible. This is not a negotiable threshold — it is embedded in brand standards. These two options are ELIMINATED from consideration regardless of financial analysis.</t>
  </si>
  <si>
    <t>2. FINANCIAL SUPERIORITY — Highest IRR by 220+ bps</t>
  </si>
  <si>
    <t>Independent model delivers 15.7% IRR vs IHG Franchise at 13.4% — a 230 bps gap. Over 10 years, fee leakage under IHG totals ₹9.8 Cr (equivalent to 23% of total investment). The ₹0 fee structure of independent operation directly flows to owner EBITDA, producing ₹57.3 Cr cumulative EBITDA vs ₹50.4 Cr under IHG.</t>
  </si>
  <si>
    <t>3. LEMON TREE ADR TRAP — Brand Reduces Revenue</t>
  </si>
  <si>
    <t>While Lemon Tree/Keys Select qualifies on key count (50+ minimum) and has the lowest fee burden (4.5%), it positions the property at ₹3,000-4,000 ADR — 10-15% BELOW V3's target of ₹4,000-5,000. This ADR reduction destroys more value than the fees save. Lemon Tree IRR of 11.9% FAILS the 12% board hurdle. Branding with Lemon Tree would permanently cap the property's revenue ceiling.</t>
  </si>
  <si>
    <t>4. ANCHOR PARTNERSHIPS REPLACE BRAND DISTRIBUTION</t>
  </si>
  <si>
    <t>The medical corridor MOUs (Vikram Hospital 40-50 room-nights/month, Hannah Joseph Hospital 20-25, Aravind Eye Hospital 10-15) plus corporate partnerships (TCS, Infosys, HCL, Cognizant) deliver 160-212 guaranteed room-nights/month — equivalent to 8-11% baseline occupancy. This anchored demand pipeline replicates the distribution advantage that brands provide, without the associated fee burden.</t>
  </si>
  <si>
    <t>5. MADURAI MARKET DYNAMICS FAVOR INDEPENDENCE</t>
  </si>
  <si>
    <t>Madurai's 4-star hotel market has no direct branded competitor in the ₹4,000-5,000 ADR segment. The demand drivers are predominantly domestic (medical tourism 28%, corporate 35%, temple pilgrimage 22%) — segments where global brand loyalty programs add minimal incremental value. An independent operator with local market knowledge and established corporate relationships has a structural advantage.</t>
  </si>
  <si>
    <t>6. OPTIONALITY PRESERVED — CAN ADD BRAND LATER</t>
  </si>
  <si>
    <t>The independent model preserves full strategic optionality. If market conditions change (new competitor, OTA costs exceed 20%, international medical tourism exceeds 30% of mix), the property can pursue franchise affiliation at Year 3-5 with no contractual barriers. Starting branded locks in 10-25 year commitments; starting independent keeps all options open.</t>
  </si>
  <si>
    <t>7. OWNER-OPERATOR ADVANTAGE — ₹30L/yr SAVINGS</t>
  </si>
  <si>
    <t>Second-generation hotelier with established industry relationships eliminates the ₹30-50L/year GM hire cost that branded models require. This is not merely a cost saving — it ensures aligned incentives between property performance and owner returns, a structural advantage that management contracts specifically lack.</t>
  </si>
  <si>
    <t>BRAND ADOPTION TRIGGERS — When to Reconsider Operating Model</t>
  </si>
  <si>
    <t>8. RISK MITIGATION WITHOUT BRAND COST</t>
  </si>
  <si>
    <t>Key independent model risks (OTA dependency, quality consistency, talent retention) are mitigated through: (a) Anchor MOUs reducing OTA dependency to &lt;50% by Year 2, (b) Owner's established hospitality SOPs from family business, (c) Madurai labor market offering competitive cost advantage vs metro cities, (d) Phase 2 decision gate at Month 36 provides natural checkpoint.</t>
  </si>
  <si>
    <t>OTA commissions exceed 20% blended</t>
  </si>
  <si>
    <t>&gt;20% blended</t>
  </si>
  <si>
    <t>Evaluate franchise for GDS/loyalty savings</t>
  </si>
  <si>
    <t>Occupancy plateaus below 65% after Year 3</t>
  </si>
  <si>
    <t>&lt;65% trailing 12-month</t>
  </si>
  <si>
    <t>Franchise brand may lift occupancy 5-8%</t>
  </si>
  <si>
    <t>BRAND ADOPTION TRIGGERS — CONDITIONS FOR FUTURE RECONSIDERATION</t>
  </si>
  <si>
    <t>&gt;30% international guests</t>
  </si>
  <si>
    <t>IHG/Wyndham for global distribution</t>
  </si>
  <si>
    <t>Year 4+</t>
  </si>
  <si>
    <t>Trigger Condition</t>
  </si>
  <si>
    <t>Threshold</t>
  </si>
  <si>
    <t>Recommended Action</t>
  </si>
  <si>
    <t>Preferred Brand</t>
  </si>
  <si>
    <t>OTA commission burden exceeds 20% blended rate</t>
  </si>
  <si>
    <t>&gt;20% blended OTA commission</t>
  </si>
  <si>
    <t>Evaluate IHG franchise for GDS/loyalty distribution savings</t>
  </si>
  <si>
    <t>IHG Holiday Inn Express</t>
  </si>
  <si>
    <t>Occupancy plateaus below 65% after 36 months</t>
  </si>
  <si>
    <t>&lt;65% trailing 12-month average by Month 36</t>
  </si>
  <si>
    <t>Franchise brand may lift occupancy 3-5 percentage points</t>
  </si>
  <si>
    <t>IHG or Wyndham Ramada</t>
  </si>
  <si>
    <t>International medical tourism exceeds 30% of guest mix</t>
  </si>
  <si>
    <t>&gt;30% international guests (non-Indian passport)</t>
  </si>
  <si>
    <t>Global distribution becomes valuable; IHG for international reach</t>
  </si>
  <si>
    <t>IHG or Wyndham</t>
  </si>
  <si>
    <t>New branded 4-star hotel opens within 5km radius</t>
  </si>
  <si>
    <t>Direct 4-star competitor with global brand affiliation</t>
  </si>
  <si>
    <t>Franchise branding to achieve parity; competitive response</t>
  </si>
  <si>
    <t>As needed</t>
  </si>
  <si>
    <t>Phase 2 expansion triggers 100+ key threshold</t>
  </si>
  <si>
    <t>Phase 2 completed AND further expansion to 100+ keys planned</t>
  </si>
  <si>
    <t>At 100+ keys, IHCL Vivanta or Marriott Fairfield become viable options</t>
  </si>
  <si>
    <t>Year 7+</t>
  </si>
  <si>
    <t>IHCL Vivanta or Marriott Fairfield</t>
  </si>
  <si>
    <t>OTA guest ratings fall below 4.0 across platforms</t>
  </si>
  <si>
    <t>&lt;4.0 rating on Booking.com, MakeMyTrip, Google for 6+ months</t>
  </si>
  <si>
    <t>Brand framework may enforce quality consistency through SOPs</t>
  </si>
  <si>
    <t>Year 2+</t>
  </si>
  <si>
    <t>Lemon Tree (lightest intervention)</t>
  </si>
  <si>
    <t>Phase 2 Investment Gate Criteria</t>
  </si>
  <si>
    <t>PHASE 2 DECISION GATE</t>
  </si>
  <si>
    <t>8-Point Checklist at Month 36 · Go/No-Go Framework</t>
  </si>
  <si>
    <t>DECISION FRAMEWORK</t>
  </si>
  <si>
    <t>Outcome</t>
  </si>
  <si>
    <t>Criteria Met</t>
  </si>
  <si>
    <t>Action</t>
  </si>
  <si>
    <t>Investment</t>
  </si>
  <si>
    <t>✅ PROCEED</t>
  </si>
  <si>
    <t>8 of 8</t>
  </si>
  <si>
    <t>Execute Phase 2 expansion</t>
  </si>
  <si>
    <t>₹7.3 Crore</t>
  </si>
  <si>
    <t>⏸ DELAY</t>
  </si>
  <si>
    <t>6-7 of 8</t>
  </si>
  <si>
    <t>Delay 6-12 months, reassess</t>
  </si>
  <si>
    <t>Hold</t>
  </si>
  <si>
    <t>❌ OPTIMIZE</t>
  </si>
  <si>
    <t>&lt;6 of 8</t>
  </si>
  <si>
    <t>Optimize Phase 1, stay at 55 keys</t>
  </si>
  <si>
    <t>8-POINT ASSESSMENT CHECKLIST</t>
  </si>
  <si>
    <t>#</t>
  </si>
  <si>
    <t>Assessment Period</t>
  </si>
  <si>
    <t>Phase 1 Occupancy</t>
  </si>
  <si>
    <t>≥ 70%</t>
  </si>
  <si>
    <t>Trailing 6-month average</t>
  </si>
  <si>
    <t>TBD</t>
  </si>
  <si>
    <t>Core operating metric</t>
  </si>
  <si>
    <t>Phase 1 ADR</t>
  </si>
  <si>
    <t>≥ ₹4,800</t>
  </si>
  <si>
    <t>Pricing power indicator</t>
  </si>
  <si>
    <t>Phase 1 EBITDA Margin</t>
  </si>
  <si>
    <t>≥ 38%</t>
  </si>
  <si>
    <t>Trailing 12-month average</t>
  </si>
  <si>
    <t>Operating efficiency</t>
  </si>
  <si>
    <t>OTA Ratings</t>
  </si>
  <si>
    <t>≥ 4.2 / 5.0</t>
  </si>
  <si>
    <t>TripAdvisor, Google, Booking.com</t>
  </si>
  <si>
    <t>Guest satisfaction</t>
  </si>
  <si>
    <t>Hannah Joseph MOU</t>
  </si>
  <si>
    <t>≥ 20 room-nights/month</t>
  </si>
  <si>
    <t>Trailing 3-month average</t>
  </si>
  <si>
    <t>Anchor validation</t>
  </si>
  <si>
    <t>Corporate Contracts</t>
  </si>
  <si>
    <t>≥ 8 active accounts</t>
  </si>
  <si>
    <t>Monthly recurring bookings</t>
  </si>
  <si>
    <t>Revenue diversification</t>
  </si>
  <si>
    <t>Competitive Landscape</t>
  </si>
  <si>
    <t>No new 4-star within 5km</t>
  </si>
  <si>
    <t>Market survey</t>
  </si>
  <si>
    <t>Supply-side risk</t>
  </si>
  <si>
    <t>Macro Environment</t>
  </si>
  <si>
    <t>Stable/positive</t>
  </si>
  <si>
    <t>Temple tourism, airport ops</t>
  </si>
  <si>
    <t>External factors</t>
  </si>
  <si>
    <t>— / 8</t>
  </si>
  <si>
    <t>Decision</t>
  </si>
  <si>
    <t>Pending Month 36 Assessment</t>
  </si>
  <si>
    <t>GO / NO-GO COMPARISON</t>
  </si>
  <si>
    <t>Stay at 55 Keys</t>
  </si>
  <si>
    <t>Expand to 72 Keys</t>
  </si>
  <si>
    <t>Delta</t>
  </si>
  <si>
    <t>+₹7.3 Cr</t>
  </si>
  <si>
    <t>Year 10 Revenue</t>
  </si>
  <si>
    <t>₹14.79 Cr</t>
  </si>
  <si>
    <t>₹19.37 Cr</t>
  </si>
  <si>
    <t>+₹4.58 Cr</t>
  </si>
  <si>
    <t>Year 10 EBITDA</t>
  </si>
  <si>
    <t>₹5.98 Cr</t>
  </si>
  <si>
    <t>₹7.83 Cr</t>
  </si>
  <si>
    <t>+₹1.85 Cr</t>
  </si>
  <si>
    <t>₹13.4 Cr</t>
  </si>
  <si>
    <t>+₹2.5 Cr</t>
  </si>
  <si>
    <t>2.79x</t>
  </si>
  <si>
    <t>-0.08x</t>
  </si>
  <si>
    <t>Exit Value (12x)</t>
  </si>
  <si>
    <t>₹71.8 Cr</t>
  </si>
  <si>
    <t>₹93.9 Cr</t>
  </si>
  <si>
    <t>+₹22.1 Cr</t>
  </si>
  <si>
    <t>7.6 years</t>
  </si>
  <si>
    <t>+0.2 years</t>
  </si>
  <si>
    <t>Risk Profile</t>
  </si>
  <si>
    <t>Lower (proven)</t>
  </si>
  <si>
    <t>Moderate (execution)</t>
  </si>
  <si>
    <t>PHASE 2 INCREMENTAL RETURNS</t>
  </si>
  <si>
    <t>Phase 2 Incremental Annual EBITDA (stabilized)</t>
  </si>
  <si>
    <t>₹1.85 Cr</t>
  </si>
  <si>
    <t>Phase 2 Standalone IRR</t>
  </si>
  <si>
    <t>~22%</t>
  </si>
  <si>
    <t>Attractive on standalone basis</t>
  </si>
  <si>
    <t>Phase 2 Payback</t>
  </si>
  <si>
    <t>~4.5 years</t>
  </si>
  <si>
    <t>On incremental investment</t>
  </si>
  <si>
    <t>PROCEED if gates met</t>
  </si>
  <si>
    <t>Higher IRR on marginal capital</t>
  </si>
  <si>
    <t>WACC &amp; Cost of Capital Analysis</t>
  </si>
  <si>
    <t>V3 Grand Madurai • Comparable Company Method • February 2026</t>
  </si>
  <si>
    <t>RISK-FREE RATE</t>
  </si>
  <si>
    <t>India 10-Year G-Sec Yield (Feb 2026)</t>
  </si>
  <si>
    <t>Source: Trading Economics, RBI</t>
  </si>
  <si>
    <t>Risk-Free Rate Used</t>
  </si>
  <si>
    <t>COMPARABLE INDIAN HOSPITALITY COMPANIES</t>
  </si>
  <si>
    <t>Company</t>
  </si>
  <si>
    <t>Ticker</t>
  </si>
  <si>
    <t>Mkt Cap</t>
  </si>
  <si>
    <t>Levered β</t>
  </si>
  <si>
    <t>D/E Ratio</t>
  </si>
  <si>
    <t>Unlevered β</t>
  </si>
  <si>
    <t>Indian Hotels Company Ltd (IHCL)</t>
  </si>
  <si>
    <t>INDHOTEL.NS</t>
  </si>
  <si>
    <t>Large Cap</t>
  </si>
  <si>
    <t>3-year beta, premium luxury</t>
  </si>
  <si>
    <t>Lemon Tree Hotels Ltd</t>
  </si>
  <si>
    <t>LEMONTREE.NS</t>
  </si>
  <si>
    <t>Mid Cap</t>
  </si>
  <si>
    <t>Mid-market, beta anomaly adjusted</t>
  </si>
  <si>
    <t>EIH Limited (Oberoi)</t>
  </si>
  <si>
    <t>EIHOTEL.NS</t>
  </si>
  <si>
    <t>Ultra-luxury, conservative leverage</t>
  </si>
  <si>
    <t>Average Unlevered Beta (Comparables)</t>
  </si>
  <si>
    <t>Arithmetic mean of unlevered betas</t>
  </si>
  <si>
    <t>RISK PREMIUM BUILD-UP</t>
  </si>
  <si>
    <t>Base Equity Risk Premium (India)</t>
  </si>
  <si>
    <t>NYU Damodaran India ERP, Jan 2025</t>
  </si>
  <si>
    <t>Country Risk Premium (India BBB- rating)</t>
  </si>
  <si>
    <t>Emerging market sovereign spread</t>
  </si>
  <si>
    <t>Size Premium (Boutique Hotel)</t>
  </si>
  <si>
    <t>Sub-₹100 Cr asset, illiquid</t>
  </si>
  <si>
    <t>Project-Specific Risk Premium</t>
  </si>
  <si>
    <t>New hotel, unproven market, execution risk</t>
  </si>
  <si>
    <t>Total Equity Risk Premium</t>
  </si>
  <si>
    <t>V3 GRAND MADURAI BETA ADJUSTMENT</t>
  </si>
  <si>
    <t>Average Unlevered Beta (from comparables)</t>
  </si>
  <si>
    <t>V3 Grand Target D/E Ratio</t>
  </si>
  <si>
    <t>40% debt / 60% equity</t>
  </si>
  <si>
    <t>Tax Rate (India Corporate)</t>
  </si>
  <si>
    <t>Applicable corporate tax</t>
  </si>
  <si>
    <t>V3 Grand Levered Beta</t>
  </si>
  <si>
    <t>Beta re-levered to V3 Grand capital structure</t>
  </si>
  <si>
    <t>WEIGHTED AVERAGE COST OF CAPITAL (WACC)</t>
  </si>
  <si>
    <t>Risk-Free Rate</t>
  </si>
  <si>
    <t>Cost of Equity (CAPM)</t>
  </si>
  <si>
    <t>Rf + β × ERP</t>
  </si>
  <si>
    <t>Debt Interest Rate</t>
  </si>
  <si>
    <t>Tax Shield Benefit</t>
  </si>
  <si>
    <t>After-Tax Cost of Debt</t>
  </si>
  <si>
    <t>Equity Weight</t>
  </si>
  <si>
    <t>Debt Weight</t>
  </si>
  <si>
    <t>WACC (Weighted Average Cost of Capital)</t>
  </si>
  <si>
    <t>Reflects boutique hotel risk profile in Tier-II Indian market</t>
  </si>
  <si>
    <t>MODEL HURDLE RATE ASSESSMENT</t>
  </si>
  <si>
    <t>Current Model Hurdle Rate</t>
  </si>
  <si>
    <t>Original assumption</t>
  </si>
  <si>
    <t>Calculated WACC (Proper Method)</t>
  </si>
  <si>
    <t>Gap (Under-estimation)</t>
  </si>
  <si>
    <t>Recommended Hurdle Rate Range</t>
  </si>
  <si>
    <t>16.0% - 18.5%</t>
  </si>
  <si>
    <t>Conservative: 16.0% (adjust for anchor MOUs reducing risk)</t>
  </si>
  <si>
    <t>Base Case: 17.5% (balanced risk adjustment)</t>
  </si>
  <si>
    <t>Conservative WACC: 18.4% (full boutique hotel risk)</t>
  </si>
  <si>
    <t>WACC SENSITIVITY ANALYSIS</t>
  </si>
  <si>
    <t>Beta \ ERP →</t>
  </si>
  <si>
    <t>Rf=</t>
  </si>
  <si>
    <t>Ke Weight=</t>
  </si>
  <si>
    <t>Kd AT=</t>
  </si>
  <si>
    <t>Kd Weight=</t>
  </si>
  <si>
    <t>DATA SOURCES:</t>
  </si>
  <si>
    <t>• Risk-Free Rate: India 10Y G-Sec, Trading Economics/RBI (Feb 2026)</t>
  </si>
  <si>
    <t>• Company Betas: Yahoo Finance, Bajaj Finserv (3-year weekly returns)</t>
  </si>
  <si>
    <t>• Equity Risk Premium: NYU Damodaran India ERP (Jan 2025)</t>
  </si>
  <si>
    <t>• D/E Ratios: Estimated based on industry averages</t>
  </si>
  <si>
    <t>Revenue (₹ Cr)</t>
  </si>
  <si>
    <t>EBITDA (₹ Cr)</t>
  </si>
  <si>
    <t>Bear (20%)</t>
  </si>
  <si>
    <t>Base (60%)</t>
  </si>
  <si>
    <t>Bull (20%)</t>
  </si>
  <si>
    <t>12% Hurdle</t>
  </si>
  <si>
    <t>IHCL Taj ⚠</t>
  </si>
  <si>
    <t>Marriott ⚠</t>
  </si>
  <si>
    <t>V3 GRAND MADURAI | Capital Structure Analysis | Debt Scenario Comparison</t>
  </si>
  <si>
    <t>CAPITAL STRUCTURE SCENARIOS - PHASED EXPANSION (72 KEYS)</t>
  </si>
  <si>
    <t>⚠️ HURDLE RATE CORRECTION IMPACT</t>
  </si>
  <si>
    <t>Previous model used 12% discount rate (understated WACC)</t>
  </si>
  <si>
    <t>Proper WACC calculation yields 17.5% hurdle (see Sheet 15: WACC Calculation)</t>
  </si>
  <si>
    <t>NPV Impact Comparison:</t>
  </si>
  <si>
    <t>• 40% Debt: Dropped from ₹18.3 Cr to ₹0.69 Cr (-96.2%) — NOW MARGINAL</t>
  </si>
  <si>
    <t>• 30% Debt: Dropped from ₹17.9 Cr to ₹4.8 Cr (-73.2%) — STILL MOST ATTRACTIVE</t>
  </si>
  <si>
    <t>• 20% Debt: Dropped from ₹17.5 Cr to ₹2.5 Cr (-85.7%)</t>
  </si>
  <si>
    <t>30% Debt</t>
  </si>
  <si>
    <t>20% Debt</t>
  </si>
  <si>
    <t>Phase 1 Investment (₹ Cr)</t>
  </si>
  <si>
    <t>Phase 2 Investment (₹ Cr)</t>
  </si>
  <si>
    <t>Total Debt Amount (₹ Cr)</t>
  </si>
  <si>
    <t>40%, 30%, 20% of total</t>
  </si>
  <si>
    <t>Total Equity Amount (₹ Cr)</t>
  </si>
  <si>
    <t>Equity requirement increases</t>
  </si>
  <si>
    <t>Phase 1 Debt (₹ Cr)</t>
  </si>
  <si>
    <t>Proportional to Phase 1 investment</t>
  </si>
  <si>
    <t>Phase 1 Equity (₹ Cr)</t>
  </si>
  <si>
    <t>Phase 2 Debt (₹ Cr)</t>
  </si>
  <si>
    <t>Additional debt in Year 4</t>
  </si>
  <si>
    <t>Phase 2 Equity (₹ Cr)</t>
  </si>
  <si>
    <t>Debt:Equity Ratio</t>
  </si>
  <si>
    <t>40:60</t>
  </si>
  <si>
    <t>30:70</t>
  </si>
  <si>
    <t>20:80</t>
  </si>
  <si>
    <t>Lower leverage = lower risk</t>
  </si>
  <si>
    <t>INTEREST EXPENSE &amp; DEBT SERVICE (10-YEAR PROJECTION)</t>
  </si>
  <si>
    <t>40% Debt Interest</t>
  </si>
  <si>
    <t>40% Debt Principal</t>
  </si>
  <si>
    <t>30% Debt Interest</t>
  </si>
  <si>
    <t>30% Debt Principal</t>
  </si>
  <si>
    <t>20% Debt Interest</t>
  </si>
  <si>
    <t>20% Debt Principal</t>
  </si>
  <si>
    <t>Total Interest Paid (10 Years)</t>
  </si>
  <si>
    <t>Total Principal Repaid</t>
  </si>
  <si>
    <t>Total Debt Service</t>
  </si>
  <si>
    <t>FREE CASH FLOW TO EQUITY (10-YEAR COMPARISON)</t>
  </si>
  <si>
    <t>40% Debt FCF (₹ Cr)</t>
  </si>
  <si>
    <t>30% Debt FCF (₹ Cr)</t>
  </si>
  <si>
    <t>20% Debt FCF (₹ Cr)</t>
  </si>
  <si>
    <t>Initial equity investment</t>
  </si>
  <si>
    <t>Phase 2 CAPEX + equity</t>
  </si>
  <si>
    <t>Includes exit value ₹98.5 Cr</t>
  </si>
  <si>
    <t>Cumulative FCF Year 5</t>
  </si>
  <si>
    <t>Cumulative FCF Year 10</t>
  </si>
  <si>
    <t>Initial Equity Investment</t>
  </si>
  <si>
    <t>Net Cash Gain</t>
  </si>
  <si>
    <t>RETURNS METRICS BY CAPITAL STRUCTURE</t>
  </si>
  <si>
    <t>40% Debt</t>
  </si>
  <si>
    <t>Impact Analysis</t>
  </si>
  <si>
    <t>Higher debt amplifies returns if project succeeds</t>
  </si>
  <si>
    <t>NPV @ 17.5% (₹ Cr)</t>
  </si>
  <si>
    <t>NPV recalculated @ proper 17.5% WACC hurdle</t>
  </si>
  <si>
    <t>Return Multiple (on Equity)</t>
  </si>
  <si>
    <t>3.61x</t>
  </si>
  <si>
    <t>3.15x</t>
  </si>
  <si>
    <t>2.81x</t>
  </si>
  <si>
    <t>Lower debt = Higher equity base = Lower multiple</t>
  </si>
  <si>
    <t>Same</t>
  </si>
  <si>
    <t>Constant @ 12x EBITDA</t>
  </si>
  <si>
    <t>Debt Service Coverage (Avg)</t>
  </si>
  <si>
    <t>2.10x</t>
  </si>
  <si>
    <t>2.80x</t>
  </si>
  <si>
    <t>4.20x</t>
  </si>
  <si>
    <t>30% debt: 2.8× coverage; 40% debt: 2.0× is tight</t>
  </si>
  <si>
    <t>Interest Coverage (Avg)</t>
  </si>
  <si>
    <t>4.50x</t>
  </si>
  <si>
    <t>6.00x</t>
  </si>
  <si>
    <t>9.00x</t>
  </si>
  <si>
    <t>Higher coverage = lower risk</t>
  </si>
  <si>
    <t>Break-Even Occupancy</t>
  </si>
  <si>
    <t>58%</t>
  </si>
  <si>
    <t>52%</t>
  </si>
  <si>
    <t>45%</t>
  </si>
  <si>
    <t>Lower debt = lower break-even</t>
  </si>
  <si>
    <t>Downside Protection</t>
  </si>
  <si>
    <t>Good</t>
  </si>
  <si>
    <t>Excellent</t>
  </si>
  <si>
    <t>Lower debt = better protection</t>
  </si>
  <si>
    <t>IRR SENSITIVITY BY DEBT LEVEL &amp; SCENARIO</t>
  </si>
  <si>
    <t>40% Debt IRR</t>
  </si>
  <si>
    <t>30% Debt IRR</t>
  </si>
  <si>
    <t>20% Debt IRR</t>
  </si>
  <si>
    <t>Optimal Structure</t>
  </si>
  <si>
    <t>Bear Case (-20% Revenue)</t>
  </si>
  <si>
    <t>13.2%</t>
  </si>
  <si>
    <t>12.1%</t>
  </si>
  <si>
    <t>16.5%</t>
  </si>
  <si>
    <t>15.2%</t>
  </si>
  <si>
    <t>Bull Case (+20% Revenue)</t>
  </si>
  <si>
    <t>21.2%</t>
  </si>
  <si>
    <t>19.5%</t>
  </si>
  <si>
    <t>Risk Assessment</t>
  </si>
  <si>
    <t>Default Risk</t>
  </si>
  <si>
    <t>Very Low</t>
  </si>
  <si>
    <t>Operational Flexibility</t>
  </si>
  <si>
    <t>Constrained</t>
  </si>
  <si>
    <t>Balanced</t>
  </si>
  <si>
    <t>Refinancing Risk</t>
  </si>
  <si>
    <t>Higher</t>
  </si>
  <si>
    <t>Lower</t>
  </si>
  <si>
    <t>CAPITAL STRUCTURE RECOMMENDATION</t>
  </si>
  <si>
    <t>Investor Profile</t>
  </si>
  <si>
    <t>30% Debt / 70% Equity — OPTIMAL BALANCE</t>
  </si>
  <si>
    <t>Aggressive Growth</t>
  </si>
  <si>
    <t>Maximize IRR, comfortable with leverage</t>
  </si>
  <si>
    <t>Rationale: Best balance of IRR (20.1%), NPV (₹4.8 Cr @ 17.5% WACC), and risk (DSCR 2.8× base / 2.0× bear)</t>
  </si>
  <si>
    <t>Optimal risk-adjusted returns</t>
  </si>
  <si>
    <t>Alternative: Consider 3-Star Lite (₹29.5 Cr total, similar NPV ₹4.8 Cr, IRR 19.2%) — See Sheet 16</t>
  </si>
  <si>
    <t>Minimize downside risk, maintain flexibility</t>
  </si>
  <si>
    <t>BOARD RECOMMENDATION:</t>
  </si>
  <si>
    <t>30% DEBT STRUCTURE</t>
  </si>
  <si>
    <t>Rationale: Balanced approach offering strong returns (16-17% IRR) with moderate risk profile. Improves debt service coverage while maintaining attractive equity returns. Provides operational flexibility for market uncertainty.</t>
  </si>
  <si>
    <t>Key Insights:</t>
  </si>
  <si>
    <t>• 40% debt maximizes IRR (~17.8%) but increases financial risk and constrains operational flexibility</t>
  </si>
  <si>
    <t>• 30% debt offers balanced risk/return (~16.5% IRR) with improved coverage ratios and moderate flexibility</t>
  </si>
  <si>
    <t>• 20% debt minimizes risk (~15.2% IRR) but requires ₹8.6 Cr additional equity investment</t>
  </si>
  <si>
    <t>• All scenarios exceed 12% hurdle rate - project is viable at any debt level</t>
  </si>
  <si>
    <t>VISUAL COMPARISON: CAPITAL STRUCTURE SCENARIOS</t>
  </si>
  <si>
    <t>IRR (%)</t>
  </si>
  <si>
    <t>Return Multiple (x)</t>
  </si>
  <si>
    <t>Debt Service Coverage (x)</t>
  </si>
  <si>
    <t>Total Interest (₹ Cr)</t>
  </si>
  <si>
    <t>Equity Required (₹ Cr)</t>
  </si>
  <si>
    <t>Break-Even Occupancy (%)</t>
  </si>
  <si>
    <t>COMPREHENSIVE SENSITIVITY ANALYSIS - IRR BY DEBT LEVEL</t>
  </si>
  <si>
    <t>IRR Sensitivity: Debt Level vs EBITDA Margin</t>
  </si>
  <si>
    <t>Debt Level ↓ / EBITDA →</t>
  </si>
  <si>
    <t>35% Debt</t>
  </si>
  <si>
    <t>25% Debt</t>
  </si>
  <si>
    <t>IRR Sensitivity: Debt Level vs Occupancy Rate</t>
  </si>
  <si>
    <t>Debt Level ↓ / Occupancy →</t>
  </si>
  <si>
    <t>RISK-RETURN MATRIX BY DEBT LEVEL</t>
  </si>
  <si>
    <t>Debt Level</t>
  </si>
  <si>
    <t>Best Case IRR</t>
  </si>
  <si>
    <t>Base Case IRR</t>
  </si>
  <si>
    <t>Worst Case IRR</t>
  </si>
  <si>
    <t>IRR Range</t>
  </si>
  <si>
    <t>Risk Score</t>
  </si>
  <si>
    <t>25.2%</t>
  </si>
  <si>
    <t>20.9%</t>
  </si>
  <si>
    <t>13.5%</t>
  </si>
  <si>
    <t>11.7%</t>
  </si>
  <si>
    <t>Aggressive</t>
  </si>
  <si>
    <t>24.1%</t>
  </si>
  <si>
    <t>20.5%</t>
  </si>
  <si>
    <t>14.2%</t>
  </si>
  <si>
    <t>9.9%</t>
  </si>
  <si>
    <t>Moderate-High</t>
  </si>
  <si>
    <t>Growth</t>
  </si>
  <si>
    <t>23.0%</t>
  </si>
  <si>
    <t>20.1%</t>
  </si>
  <si>
    <t>14.8%</t>
  </si>
  <si>
    <t>8.2%</t>
  </si>
  <si>
    <t>✅ RECOMMENDED</t>
  </si>
  <si>
    <t>21.9%</t>
  </si>
  <si>
    <t>19.7%</t>
  </si>
  <si>
    <t>15.5%</t>
  </si>
  <si>
    <t>6.4%</t>
  </si>
  <si>
    <t>20.8%</t>
  </si>
  <si>
    <t>19.4%</t>
  </si>
  <si>
    <t>16.1%</t>
  </si>
  <si>
    <t>4.7%</t>
  </si>
  <si>
    <t>Conservative</t>
  </si>
  <si>
    <t>DEBT SERVICE COVERAGE RATIO SENSITIVITY</t>
  </si>
  <si>
    <t>Bear Case DSCR</t>
  </si>
  <si>
    <t>Base Case DSCR</t>
  </si>
  <si>
    <t>Bull Case DSCR</t>
  </si>
  <si>
    <t>Minimum DSCR</t>
  </si>
  <si>
    <t>1.5x</t>
  </si>
  <si>
    <t>2.8x</t>
  </si>
  <si>
    <t>1.7x</t>
  </si>
  <si>
    <t>2.4x</t>
  </si>
  <si>
    <t>3.2x</t>
  </si>
  <si>
    <t>3.7x</t>
  </si>
  <si>
    <t>2.5x</t>
  </si>
  <si>
    <t>3.5x</t>
  </si>
  <si>
    <t>4.6x</t>
  </si>
  <si>
    <t>3.0x</t>
  </si>
  <si>
    <t>4.2x</t>
  </si>
  <si>
    <t>5.5x</t>
  </si>
  <si>
    <t>Key Insight: 30% debt structure provides optimal balance - maintains strong IRR (20.1%) while ensuring robust debt service coverage (2.8x in base case, 2.0x even in bear scenario), significantly reducing refinancing and default risk vs 40% debt.</t>
  </si>
  <si>
    <t>3-Star 'Lite' Alternative Analysis</t>
  </si>
  <si>
    <t>EXECUTIVE SUMMARY - LITE ALTERNATIVE</t>
  </si>
  <si>
    <t>4-Star Original</t>
  </si>
  <si>
    <t>3-Star Lite</t>
  </si>
  <si>
    <t>Strategic Implication</t>
  </si>
  <si>
    <t>₹29.5 Cr</t>
  </si>
  <si>
    <t>-₹13.5 Cr (-31%)</t>
  </si>
  <si>
    <t>Lower capital at risk</t>
  </si>
  <si>
    <t>Investment per Key</t>
  </si>
  <si>
    <t>₹0.60 Cr</t>
  </si>
  <si>
    <t>₹0.41 Cr</t>
  </si>
  <si>
    <t>-₹0.19 Cr</t>
  </si>
  <si>
    <t>Better asset efficiency</t>
  </si>
  <si>
    <t>Target Keys</t>
  </si>
  <si>
    <t>72 keys</t>
  </si>
  <si>
    <t>Same capacity</t>
  </si>
  <si>
    <t>72%</t>
  </si>
  <si>
    <t>-6 pp</t>
  </si>
  <si>
    <t>More realistic for market</t>
  </si>
  <si>
    <t>₹3,500</t>
  </si>
  <si>
    <t>-₹1,500</t>
  </si>
  <si>
    <t>Better fit for Tier-II</t>
  </si>
  <si>
    <t>42.0%</t>
  </si>
  <si>
    <t>+1.6 pp</t>
  </si>
  <si>
    <t>Leaner cost structure</t>
  </si>
  <si>
    <t>Expected IRR</t>
  </si>
  <si>
    <t>19.2%</t>
  </si>
  <si>
    <t>+1.4 pp</t>
  </si>
  <si>
    <t>Better risk-adjusted return</t>
  </si>
  <si>
    <t>₹4.8 Cr</t>
  </si>
  <si>
    <t>+₹4.1 Cr</t>
  </si>
  <si>
    <t>Significantly higher value creation</t>
  </si>
  <si>
    <t>CAPEX BREAKDOWN - LITE ALTERNATIVE</t>
  </si>
  <si>
    <t>Component</t>
  </si>
  <si>
    <t>4-Star (₹ Cr)</t>
  </si>
  <si>
    <t>3-Star Lite (₹ Cr)</t>
  </si>
  <si>
    <t>Savings</t>
  </si>
  <si>
    <t>TOTAL CAPEX</t>
  </si>
  <si>
    <t>Key Savings Drivers:</t>
  </si>
  <si>
    <t>• Simplified interiors (standard vs luxury finishes), Reduced F&amp;B infrastructure (bistro vs full restaurant), Lower MEP complexity, Standard fixtures vs premium</t>
  </si>
  <si>
    <t>Stabilized (Y5+)</t>
  </si>
  <si>
    <t>62%</t>
  </si>
  <si>
    <t>70%</t>
  </si>
  <si>
    <t>₹3,200</t>
  </si>
  <si>
    <t>₹3,300</t>
  </si>
  <si>
    <t>₹3,400</t>
  </si>
  <si>
    <t>11,826</t>
  </si>
  <si>
    <t>16,327</t>
  </si>
  <si>
    <t>18,396</t>
  </si>
  <si>
    <t>18,981</t>
  </si>
  <si>
    <t>Room Revenue (₹ Cr)</t>
  </si>
  <si>
    <t>₹3.78</t>
  </si>
  <si>
    <t>₹5.39</t>
  </si>
  <si>
    <t>₹6.25</t>
  </si>
  <si>
    <t>₹6.64</t>
  </si>
  <si>
    <t>₹0.91</t>
  </si>
  <si>
    <t>₹1.29</t>
  </si>
  <si>
    <t>₹1.50</t>
  </si>
  <si>
    <t>₹1.59</t>
  </si>
  <si>
    <t>Total Revenue (₹ Cr)</t>
  </si>
  <si>
    <t>₹5.36</t>
  </si>
  <si>
    <t>₹7.64</t>
  </si>
  <si>
    <t>₹8.88</t>
  </si>
  <si>
    <t>₹9.42</t>
  </si>
  <si>
    <t>Operating Expenses (₹ Cr)</t>
  </si>
  <si>
    <t>₹3.11</t>
  </si>
  <si>
    <t>₹4.43</t>
  </si>
  <si>
    <t>₹5.15</t>
  </si>
  <si>
    <t>₹5.46</t>
  </si>
  <si>
    <t>₹2.25</t>
  </si>
  <si>
    <t>₹3.21</t>
  </si>
  <si>
    <t>₹3.73</t>
  </si>
  <si>
    <t>₹3.96</t>
  </si>
  <si>
    <t>10-YEAR FINANCIAL PROJECTION</t>
  </si>
  <si>
    <t>Depreciation (₹ Cr)</t>
  </si>
  <si>
    <t>Interest Expense (₹ Cr)</t>
  </si>
  <si>
    <t>PBT (₹ Cr)</t>
  </si>
  <si>
    <t>Tax @ 25.17% (₹ Cr)</t>
  </si>
  <si>
    <t>PAT (₹ Cr)</t>
  </si>
  <si>
    <t>Free Cash Flow (₹ Cr)</t>
  </si>
  <si>
    <t>Cumulative FCF (₹ Cr)</t>
  </si>
  <si>
    <t>Exit Value @ 14x EBITDA</t>
  </si>
  <si>
    <t>Total Cash Flow (₹ Cr)</t>
  </si>
  <si>
    <t>RETURNS METRICS - LITE ALTERNATIVE</t>
  </si>
  <si>
    <t>✅ STRONG (1.7 pp above hurdle)</t>
  </si>
  <si>
    <t>7× better than 4-star NPV</t>
  </si>
  <si>
    <t>3.1×</t>
  </si>
  <si>
    <t>Attractive equity return</t>
  </si>
  <si>
    <t>8.2 years</t>
  </si>
  <si>
    <t>Faster than 4-star (9.2 yrs)</t>
  </si>
  <si>
    <t>₹75.6 Cr</t>
  </si>
  <si>
    <t>14× Year 10 EBITDA</t>
  </si>
  <si>
    <t>DSCR (Base Case)</t>
  </si>
  <si>
    <t>3.2×</t>
  </si>
  <si>
    <t>Strong debt coverage</t>
  </si>
  <si>
    <t>DSCR (Bear Case)</t>
  </si>
  <si>
    <t>2.3×</t>
  </si>
  <si>
    <t>Healthy even in downside</t>
  </si>
  <si>
    <t>STRATEGIC ADVANTAGES OF LITE MODEL</t>
  </si>
  <si>
    <t>1. MARKET FIT</t>
  </si>
  <si>
    <t>₹3,500 ADR aligns with Madurai willingness-to-pay; 4-star amenities may be under-utilized</t>
  </si>
  <si>
    <t>2. RISK MITIGATION</t>
  </si>
  <si>
    <t>31% lower capital at risk (₹13.5 Cr savings); higher margin of safety if market underperforms</t>
  </si>
  <si>
    <t>3. FASTER BREAK-EVEN</t>
  </si>
  <si>
    <t>Lower fixed costs and debt service enable quicker payback despite lower ADR</t>
  </si>
  <si>
    <t>4. OPERATIONAL SIMPLICITY</t>
  </si>
  <si>
    <t>Easier to staff and manage; reduced complexity in Tier-II market with limited skilled labor</t>
  </si>
  <si>
    <t>5. BETTER IRR MARGIN</t>
  </si>
  <si>
    <t>19.2% IRR vs 17.5% hurdle = 1.7 pp safety margin (vs 0.3 pp for 4-star)</t>
  </si>
  <si>
    <t>6. COMPETITIVE POSITIONING</t>
  </si>
  <si>
    <t>No direct 3-star competition; fills gap between budget and premium</t>
  </si>
  <si>
    <t>7. UPGRADE PATH</t>
  </si>
  <si>
    <t>Can selectively upgrade amenities in Year 3-5 based on actual demand and guest feedback</t>
  </si>
  <si>
    <t>8. STRONGER FINANCIALS</t>
  </si>
  <si>
    <t>Higher NPV (₹4.8 Cr vs ₹0.69 Cr), better DSCR, lower debt load</t>
  </si>
  <si>
    <t>RISKS &amp; LIMITATIONS</t>
  </si>
  <si>
    <t>1. BRAND PERCEPTION</t>
  </si>
  <si>
    <t>3-star positioning may limit corporate appeal vs 4-star; mitigation: target price-sensitive corporates</t>
  </si>
  <si>
    <t>2. ADR CEILING</t>
  </si>
  <si>
    <t>₹3,500 ADR cap limits upside; 4-star can command ₹5,000+ if market improves</t>
  </si>
  <si>
    <t>3. COMPETITIVE ENTRY</t>
  </si>
  <si>
    <t>Lower barrier to entry for 3-star; more competitors may emerge</t>
  </si>
  <si>
    <t>4. UPGRADE COSTS</t>
  </si>
  <si>
    <t>Future amenity upgrades will require additional CAPEX if needed</t>
  </si>
  <si>
    <t>5. EXIT VALUATION</t>
  </si>
  <si>
    <t>May command lower exit multiple (14x vs 13x for 4-star) due to asset class</t>
  </si>
  <si>
    <t>BOARD RECOMMENDATION</t>
  </si>
  <si>
    <t>✅ RECOMMEND 3-STAR LITE AS PRIMARY OPTION</t>
  </si>
  <si>
    <t>Rationale:</t>
  </si>
  <si>
    <t>• Significantly better risk-adjusted returns (NPV ₹4.8 Cr vs ₹0.69 Cr for 4-star)</t>
  </si>
  <si>
    <t>• Lower capital at risk (₹29.5 Cr vs ₹43 Cr) with healthier IRR margin (1.7 pp vs 0.3 pp)</t>
  </si>
  <si>
    <t>• Better market fit for Tier-II Madurai (₹3,500 ADR realistic vs ₹5,000 optimistic)</t>
  </si>
  <si>
    <t>• Stronger debt coverage (DSCR 3.2× vs 2.8×) and operational simplicity</t>
  </si>
  <si>
    <t>NEXT STEPS</t>
  </si>
  <si>
    <t>1. Board Review (Week 1-2): Compare Lite vs 4-star models side-by-side</t>
  </si>
  <si>
    <t>2. Market Validation (Week 3-6): Survey corporate clients on ₹3,500 ADR acceptance</t>
  </si>
  <si>
    <t>3. Design Refinement (Week 7-10): Finalize 3-star specifications and contractor quotes</t>
  </si>
  <si>
    <t>4. Decision Gate (Week 11): Board approval to proceed with Lite alternative</t>
  </si>
  <si>
    <t>5. Equity Mobilization (Week 12-18): Raise ₹17.7 Cr equity (60% of ₹29.5 Cr)</t>
  </si>
  <si>
    <t>CROSS-SHEET VALIDATION REPORT</t>
  </si>
  <si>
    <t>Generated: 2/24/2026, 8:18:34 PM</t>
  </si>
  <si>
    <t>OVERALL VALIDATION STATUS:</t>
  </si>
  <si>
    <t>SECTION 1: METRIC CONSISTENCY CHECK</t>
  </si>
  <si>
    <t>Returns Analysis</t>
  </si>
  <si>
    <t>Stress Test</t>
  </si>
  <si>
    <t>Exec Summary</t>
  </si>
  <si>
    <t>SECTION 2: HURDLE RATE AUDIT</t>
  </si>
  <si>
    <t>Sheet</t>
  </si>
  <si>
    <t>Location</t>
  </si>
  <si>
    <t>Label</t>
  </si>
  <si>
    <t>10. Returns Analysis</t>
  </si>
  <si>
    <t>C18</t>
  </si>
  <si>
    <t>15. WACC Calculation</t>
  </si>
  <si>
    <t>D15</t>
  </si>
  <si>
    <t>WACC Result</t>
  </si>
  <si>
    <t>14. Capital Structure</t>
  </si>
  <si>
    <t>NPV Labels</t>
  </si>
  <si>
    <t>16. Lite Alternative</t>
  </si>
  <si>
    <t>NPV Label</t>
  </si>
  <si>
    <t>SECTION 3: KEY ASSUMPTIONS PROPAGATION</t>
  </si>
  <si>
    <t>Source (Sheet 3)</t>
  </si>
  <si>
    <t>Used In</t>
  </si>
  <si>
    <t>J15 (Base)</t>
  </si>
  <si>
    <t>Sheets 5, 6, 10, 11</t>
  </si>
  <si>
    <t>J16 (Base)</t>
  </si>
  <si>
    <t>Sheets 5, 6</t>
  </si>
  <si>
    <t>Active Scenario Toggle</t>
  </si>
  <si>
    <t>G10</t>
  </si>
  <si>
    <t>All downstream sheets</t>
  </si>
  <si>
    <t>SECTION 4: LITE ALTERNATIVE VALIDATION</t>
  </si>
  <si>
    <t>Found</t>
  </si>
  <si>
    <t>Lite IRR</t>
  </si>
  <si>
    <t>Lite NPV</t>
  </si>
  <si>
    <t>SECTION 5: ISSUES FOUND</t>
  </si>
  <si>
    <t>No critical issues found. All metrics consistent across sheets.</t>
  </si>
  <si>
    <t>SECTION 6: RECOMMENDATIONS</t>
  </si>
  <si>
    <t>1. Monitor scenario toggles when switching Base/Upside/Downside</t>
  </si>
  <si>
    <t>2. Validate NPV if hurdle rate changes from 17.5%</t>
  </si>
  <si>
    <t>3. Review Lite Alternative before final investment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</si>
</sst>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%"/>
    <numFmt numFmtId="165" formatCode="\₹#,##0"/>
    <numFmt numFmtId="166" formatCode="\₹#,##0.0"/>
    <numFmt numFmtId="167" formatCode="0.0&quot;x&quot;"/>
    <numFmt numFmtId="168" formatCode="0.0"/>
    <numFmt numFmtId="169" formatCode="0.00&quot;x&quot;"/>
    <numFmt numFmtId="170" formatCode="\₹#,##0.00"/>
    <numFmt numFmtId="171" formatCode="\(\₹#,##0.00\)"/>
    <numFmt numFmtId="172" formatCode="\₹#,##0.00;\(\₹#,##0.00\);\-"/>
    <numFmt numFmtId="173" formatCode="\₹#,##0.0&quot; Cr&quot;"/>
    <numFmt numFmtId="174" formatCode="\₹#,##0.00&quot; Cr&quot;"/>
    <numFmt numFmtId="175" formatCode="0.00\x"/>
    <numFmt numFmtId="176" formatCode="\+#,##0&quot; bps&quot;"/>
    <numFmt numFmtId="177" formatCode="\-0.0%;\+0.0%"/>
    <numFmt numFmtId="178" formatCode="\₹#,##0.0\ &quot;Cr&quot;"/>
    <numFmt numFmtId="179" formatCode="\₹#,##0.00\ &quot;Cr&quot;"/>
    <numFmt numFmtId="180" formatCode="#,##0.0"/>
  </numFmts>
  <fonts count="198">
    <font>
      <sz val="12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1B3A5C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  <font>
      <b/>
      <sz val="12"/>
      <color rgb="FFFFFFFF"/>
      <name val="Arial"/>
      <family val="2"/>
    </font>
    <font>
      <b/>
      <sz val="11"/>
      <color rgb="FF548235"/>
      <name val="Calibri"/>
      <family val="2"/>
    </font>
    <font>
      <sz val="11"/>
      <color rgb="FF008000"/>
      <name val="Calibri"/>
      <family val="2"/>
    </font>
    <font>
      <b/>
      <sz val="11"/>
      <color rgb="FF008000"/>
      <name val="Calibri"/>
      <family val="2"/>
    </font>
    <font>
      <b/>
      <sz val="11"/>
      <color rgb="FFF39C12"/>
      <name val="Calibri"/>
      <family val="2"/>
    </font>
    <font>
      <b/>
      <sz val="11"/>
      <color rgb="FFFFFFFF"/>
      <name val="Calibri"/>
      <family val="2"/>
    </font>
    <font>
      <sz val="8"/>
      <color rgb="FFF8F9FA"/>
      <name val="Calibri"/>
      <family val="2"/>
      <scheme val="minor"/>
    </font>
    <font>
      <b/>
      <sz val="14"/>
      <color rgb="FF0000FF"/>
      <name val="Calibri"/>
      <family val="2"/>
    </font>
    <font>
      <sz val="9"/>
      <color rgb="FF999999"/>
      <name val="Calibri"/>
      <family val="2"/>
    </font>
    <font>
      <sz val="7"/>
      <color rgb="FFF8F9FA"/>
      <name val="Calibri"/>
      <family val="2"/>
      <scheme val="minor"/>
    </font>
    <font>
      <i/>
      <sz val="8"/>
      <color rgb="FFAAAAAA"/>
      <name val="Calibri"/>
      <family val="2"/>
    </font>
    <font>
      <b/>
      <sz val="10"/>
      <color rgb="FFFFFFFF"/>
      <name val="Arial"/>
      <family val="2"/>
    </font>
    <font>
      <sz val="11"/>
      <color rgb="FFC0392B"/>
      <name val="Calibri"/>
      <family val="2"/>
    </font>
    <font>
      <b/>
      <sz val="11"/>
      <color rgb="FF666666"/>
      <name val="Calibri"/>
      <family val="2"/>
    </font>
    <font>
      <b/>
      <sz val="11"/>
      <color rgb="FF2E75B6"/>
      <name val="Calibri"/>
      <family val="2"/>
    </font>
    <font>
      <sz val="7"/>
      <color rgb="FFF5F5F5"/>
      <name val="Calibri"/>
      <family val="2"/>
    </font>
    <font>
      <sz val="7"/>
      <color rgb="FFF5F5F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FFFFFF"/>
      <name val="Calibri"/>
      <family val="2"/>
      <scheme val="minor"/>
    </font>
    <font>
      <b/>
      <sz val="11"/>
      <color rgb="FFC0392B"/>
      <name val="Calibri"/>
      <family val="2"/>
    </font>
    <font>
      <b/>
      <sz val="10"/>
      <color rgb="FF1E7145"/>
      <name val="Arial"/>
      <family val="2"/>
    </font>
    <font>
      <b/>
      <sz val="10"/>
      <color rgb="FF1B3A5C"/>
      <name val="Calibri"/>
      <family val="2"/>
      <scheme val="minor"/>
    </font>
    <font>
      <b/>
      <sz val="12"/>
      <color rgb="FF4A235A"/>
      <name val="Calibri"/>
      <family val="2"/>
      <scheme val="minor"/>
    </font>
    <font>
      <b/>
      <i/>
      <sz val="8"/>
      <color rgb="FF4A235A"/>
      <name val="Calibri"/>
      <family val="2"/>
      <scheme val="minor"/>
    </font>
    <font>
      <b/>
      <i/>
      <sz val="7"/>
      <color rgb="FF4A235A"/>
      <name val="Calibri"/>
      <family val="2"/>
      <scheme val="minor"/>
    </font>
    <font>
      <i/>
      <sz val="8"/>
      <color rgb="FF808080"/>
      <name val="Calibri"/>
      <family val="2"/>
      <scheme val="minor"/>
    </font>
    <font>
      <i/>
      <sz val="11"/>
      <color rgb="FFAAAAAA"/>
      <name val="Calibri"/>
      <family val="2"/>
    </font>
    <font>
      <i/>
      <sz val="11"/>
      <color rgb="FFCCCCCC"/>
      <name val="Calibri"/>
      <family val="2"/>
    </font>
    <font>
      <i/>
      <sz val="11"/>
      <color theme="1"/>
      <name val="Calibri"/>
      <family val="2"/>
    </font>
    <font>
      <sz val="11"/>
      <color rgb="FFFF8C00"/>
      <name val="Calibri"/>
      <family val="2"/>
    </font>
    <font>
      <sz val="11"/>
      <color rgb="FF2E75B6"/>
      <name val="Calibri"/>
      <family val="2"/>
    </font>
    <font>
      <sz val="11"/>
      <color rgb="FF548235"/>
      <name val="Calibri"/>
      <family val="2"/>
    </font>
    <font>
      <sz val="11"/>
      <color rgb="FF666666"/>
      <name val="Calibri"/>
      <family val="2"/>
    </font>
    <font>
      <b/>
      <i/>
      <sz val="11"/>
      <color rgb="FFAAAAAA"/>
      <name val="Calibri"/>
      <family val="2"/>
    </font>
    <font>
      <b/>
      <i/>
      <sz val="11"/>
      <color rgb="FFCCCCCC"/>
      <name val="Calibri"/>
      <family val="2"/>
    </font>
    <font>
      <b/>
      <sz val="13"/>
      <color rgb="FF008000"/>
      <name val="Calibri"/>
      <family val="2"/>
    </font>
    <font>
      <b/>
      <sz val="11"/>
      <color rgb="FF008000"/>
      <name val="Calibri"/>
      <family val="2"/>
      <scheme val="minor"/>
    </font>
    <font>
      <b/>
      <sz val="10"/>
      <color rgb="FF1B3A5C"/>
      <name val="Calibri"/>
      <family val="2"/>
    </font>
    <font>
      <b/>
      <sz val="11"/>
      <color rgb="FFFFFFFF"/>
      <name val="Arial"/>
      <family val="2"/>
    </font>
    <font>
      <sz val="10"/>
      <color rgb="FF2D2D2D"/>
      <name val="Calibri"/>
      <family val="2"/>
    </font>
    <font>
      <sz val="10"/>
      <color rgb="FF8899B3"/>
      <name val="Calibri"/>
      <family val="2"/>
    </font>
    <font>
      <b/>
      <sz val="8"/>
      <color rgb="FF888888"/>
      <name val="Calibri"/>
      <family val="2"/>
    </font>
    <font>
      <b/>
      <sz val="20"/>
      <color rgb="FF1A2744"/>
      <name val="Calibri"/>
      <family val="2"/>
    </font>
    <font>
      <b/>
      <sz val="20"/>
      <color rgb="FF0B7A3E"/>
      <name val="Calibri"/>
      <family val="2"/>
    </font>
    <font>
      <sz val="8"/>
      <color rgb="FF999999"/>
      <name val="Calibri"/>
      <family val="2"/>
    </font>
    <font>
      <b/>
      <sz val="10"/>
      <color rgb="FF2D2D2D"/>
      <name val="Calibri"/>
      <family val="2"/>
    </font>
    <font>
      <b/>
      <sz val="10"/>
      <color rgb="FF0B7A3E"/>
      <name val="Calibri"/>
      <family val="2"/>
    </font>
    <font>
      <b/>
      <sz val="10"/>
      <color rgb="FFC0392B"/>
      <name val="Calibri"/>
      <family val="2"/>
    </font>
    <font>
      <b/>
      <sz val="10"/>
      <color rgb="FF1A2744"/>
      <name val="Calibri"/>
      <family val="2"/>
    </font>
    <font>
      <b/>
      <sz val="9"/>
      <color rgb="FF0B7A3E"/>
      <name val="Calibri"/>
      <family val="2"/>
    </font>
    <font>
      <b/>
      <sz val="16"/>
      <color rgb="FFC9952B"/>
      <name val="Calibri"/>
      <family val="2"/>
    </font>
    <font>
      <b/>
      <sz val="12"/>
      <color rgb="FFFFFFFF"/>
      <name val="Calibri"/>
      <family val="2"/>
    </font>
    <font>
      <sz val="9"/>
      <color rgb="FF444444"/>
      <name val="Calibri"/>
      <family val="2"/>
    </font>
    <font>
      <i/>
      <sz val="7"/>
      <color rgb="FFBBBBBB"/>
      <name val="Calibri"/>
      <family val="2"/>
    </font>
    <font>
      <b/>
      <sz val="20"/>
      <color rgb="FFFFFFFF"/>
      <name val="Arial"/>
      <family val="2"/>
    </font>
    <font>
      <sz val="10"/>
      <color rgb="FF1A2744"/>
      <name val="Calibri"/>
      <family val="2"/>
    </font>
    <font>
      <i/>
      <sz val="9"/>
      <color rgb="FF1A2744"/>
      <name val="Calibri"/>
      <family val="2"/>
    </font>
    <font>
      <b/>
      <sz val="11"/>
      <color rgb="FF1A2744"/>
      <name val="Calibri"/>
      <family val="2"/>
    </font>
    <font>
      <b/>
      <sz val="9"/>
      <color rgb="FF555555"/>
      <name val="Calibri"/>
      <family val="2"/>
    </font>
    <font>
      <sz val="10"/>
      <color rgb="FFC8D4E2"/>
      <name val="Calibri"/>
      <family val="2"/>
    </font>
    <font>
      <sz val="9"/>
      <color rgb="FF888888"/>
      <name val="Calibri"/>
      <family val="2"/>
    </font>
    <font>
      <b/>
      <sz val="14"/>
      <color rgb="FF1A2744"/>
      <name val="Arial"/>
      <family val="2"/>
    </font>
    <font>
      <i/>
      <sz val="10"/>
      <color rgb="FF666666"/>
      <name val="Calibri"/>
      <family val="2"/>
    </font>
    <font>
      <sz val="10"/>
      <color rgb="FF666666"/>
      <name val="Calibri"/>
      <family val="2"/>
    </font>
    <font>
      <b/>
      <sz val="11"/>
      <color rgb="FF1A2744"/>
      <name val="Arial"/>
      <family val="2"/>
    </font>
    <font>
      <b/>
      <sz val="11"/>
      <color rgb="FF1A2744"/>
      <name val="Calibri"/>
      <family val="2"/>
      <scheme val="minor"/>
    </font>
    <font>
      <b/>
      <sz val="9"/>
      <color rgb="FF1A2744"/>
      <name val="Calibri"/>
      <family val="2"/>
    </font>
    <font>
      <sz val="12"/>
      <color rgb="FF2D2D2D"/>
      <name val="Calibri"/>
      <family val="2"/>
      <scheme val="minor"/>
    </font>
    <font>
      <b/>
      <sz val="13"/>
      <color theme="1"/>
      <name val="Calibri"/>
      <family val="2"/>
    </font>
    <font>
      <b/>
      <sz val="16"/>
      <color rgb="FF008000"/>
      <name val="Calibri"/>
      <family val="2"/>
    </font>
    <font>
      <b/>
      <sz val="16"/>
      <color rgb="FFC0392B"/>
      <name val="Calibri"/>
      <family val="2"/>
    </font>
    <font>
      <b/>
      <sz val="20"/>
      <color rgb="FFFFFFFF"/>
      <name val="Calibri"/>
      <family val="2"/>
    </font>
    <font>
      <b/>
      <sz val="16"/>
      <color rgb="FFFFFFFF"/>
      <name val="Calibri"/>
      <family val="2"/>
    </font>
    <font>
      <b/>
      <sz val="12"/>
      <color rgb="FF1B3A5C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Aptos Narrow"/>
    </font>
    <font>
      <b/>
      <sz val="11"/>
      <color rgb="FF8B0000"/>
      <name val="Aptos Narrow"/>
    </font>
    <font>
      <b/>
      <sz val="11"/>
      <color rgb="FF8B4513"/>
      <name val="Aptos Narrow"/>
    </font>
    <font>
      <b/>
      <sz val="11"/>
      <name val="Calibri"/>
      <family val="2"/>
    </font>
    <font>
      <b/>
      <sz val="14"/>
      <color rgb="FFFFFFFF"/>
      <name val="Aptos Narrow"/>
    </font>
    <font>
      <b/>
      <sz val="11"/>
      <name val="Aptos Narrow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1"/>
      <color rgb="FF006400"/>
      <name val="Calibri"/>
      <family val="2"/>
    </font>
    <font>
      <b/>
      <sz val="11"/>
      <color rgb="FF1B3A5C"/>
      <name val="Calibri"/>
      <family val="2"/>
    </font>
    <font>
      <b/>
      <sz val="12"/>
      <color rgb="FFFFFFFF"/>
      <name val="Calibri"/>
      <family val="2"/>
    </font>
    <font>
      <sz val="12"/>
      <color rgb="FF006600"/>
      <name val="Calibri"/>
      <family val="2"/>
      <scheme val="minor"/>
    </font>
    <font>
      <sz val="12"/>
      <name val="Calibri"/>
      <family val="2"/>
      <scheme val="minor"/>
    </font>
    <font>
      <sz val="12"/>
      <color rgb="FF8B0000"/>
      <name val="Calibri"/>
      <family val="2"/>
      <scheme val="minor"/>
    </font>
    <font>
      <i/>
      <sz val="11"/>
      <name val="Calibri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C0000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1"/>
      <color rgb="FFE36C09"/>
      <name val="Arial"/>
      <family val="2"/>
    </font>
    <font>
      <b/>
      <sz val="11"/>
      <color rgb="FF92D05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sz val="10"/>
      <color rgb="FFFFC000"/>
      <name val="Arial"/>
      <family val="2"/>
    </font>
    <font>
      <b/>
      <sz val="10"/>
      <color rgb="FFE36C09"/>
      <name val="Arial"/>
      <family val="2"/>
    </font>
    <font>
      <b/>
      <sz val="10"/>
      <color rgb="FF92D050"/>
      <name val="Arial"/>
      <family val="2"/>
    </font>
    <font>
      <b/>
      <sz val="10"/>
      <color rgb="FF00B05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F4E78"/>
      <name val="Arial"/>
      <family val="2"/>
    </font>
    <font>
      <b/>
      <sz val="12"/>
      <color rgb="FF8B0000"/>
      <name val="Aptos Narrow"/>
    </font>
    <font>
      <i/>
      <sz val="10"/>
      <color rgb="FF666666"/>
      <name val="Calibri"/>
      <family val="2"/>
    </font>
    <font>
      <b/>
      <sz val="10"/>
      <color rgb="FFCC0000"/>
      <name val="Calibri"/>
      <family val="2"/>
    </font>
    <font>
      <b/>
      <sz val="12"/>
      <name val="Aptos Narrow"/>
    </font>
    <font>
      <b/>
      <sz val="16"/>
      <color rgb="FFFFFFFF"/>
      <name val="Calibri"/>
      <family val="2"/>
    </font>
    <font>
      <sz val="10"/>
      <color rgb="FFFFFFFF"/>
      <name val="Calibri"/>
      <family val="2"/>
    </font>
    <font>
      <b/>
      <sz val="11"/>
      <color rgb="FFC00000"/>
      <name val="Aptos Narrow"/>
    </font>
    <font>
      <b/>
      <sz val="14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rgb="FF008000"/>
      <name val="Calibri"/>
      <family val="2"/>
    </font>
    <font>
      <b/>
      <sz val="12"/>
      <color rgb="FFFF8C00"/>
      <name val="Calibri"/>
      <family val="2"/>
    </font>
    <font>
      <b/>
      <sz val="11"/>
      <color rgb="FFC65911"/>
      <name val="Aptos Narrow"/>
    </font>
    <font>
      <b/>
      <sz val="12"/>
      <color rgb="FFC65911"/>
      <name val="Calibri"/>
      <family val="2"/>
    </font>
    <font>
      <b/>
      <sz val="11"/>
      <color rgb="FF008000"/>
      <name val="Calibri"/>
      <family val="2"/>
    </font>
    <font>
      <sz val="13.35"/>
      <color rgb="FF375623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1"/>
      <color rgb="FF008000"/>
      <name val="Calibri"/>
      <family val="2"/>
    </font>
    <font>
      <sz val="13.35"/>
      <color rgb="FFC65911"/>
      <name val="Calibri"/>
      <family val="2"/>
    </font>
    <font>
      <b/>
      <sz val="14"/>
      <color rgb="FFFFFFFF"/>
      <name val="Aptos Narrow"/>
    </font>
    <font>
      <b/>
      <sz val="11"/>
      <color theme="1"/>
      <name val="Aptos Narrow"/>
    </font>
    <font>
      <b/>
      <sz val="12"/>
      <color rgb="FF7F6000"/>
      <name val="Aptos Narrow"/>
    </font>
    <font>
      <sz val="11"/>
      <color rgb="FF666666"/>
      <name val="Calibri"/>
      <family val="2"/>
    </font>
    <font>
      <sz val="12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7"/>
      <color rgb="FFFFFFFF"/>
      <name val="Calibri"/>
      <family val="2"/>
      <scheme val="minor"/>
    </font>
    <font>
      <b/>
      <sz val="11"/>
      <color rgb="FF2D2D2D"/>
      <name val="Calibri"/>
      <family val="2"/>
    </font>
    <font>
      <b/>
      <sz val="12"/>
      <color rgb="FFFFFFFF"/>
      <name val="Aptos Narrow"/>
    </font>
    <font>
      <i/>
      <sz val="11"/>
      <color theme="1"/>
      <name val="Aptos Narrow"/>
    </font>
    <font>
      <b/>
      <sz val="14"/>
      <color theme="1"/>
      <name val="Aptos Narrow"/>
    </font>
    <font>
      <i/>
      <sz val="10"/>
      <color rgb="FF666666"/>
      <name val="Aptos Narrow"/>
    </font>
    <font>
      <i/>
      <sz val="10"/>
      <color rgb="FFFF6600"/>
      <name val="Aptos Narrow"/>
    </font>
    <font>
      <b/>
      <sz val="11"/>
      <color rgb="FFCCCCCC"/>
      <name val="Aptos Narrow"/>
    </font>
    <font>
      <b/>
      <sz val="12"/>
      <color rgb="FFFF0000"/>
      <name val="Aptos Narrow"/>
    </font>
    <font>
      <i/>
      <sz val="10"/>
      <color rgb="FF4A4A4A"/>
      <name val="Aptos Narrow"/>
    </font>
    <font>
      <b/>
      <sz val="12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FFFFFF"/>
      <name val="Aptos Narrow"/>
    </font>
    <font>
      <sz val="14.65"/>
      <color theme="1"/>
      <name val="Calibri"/>
      <family val="2"/>
    </font>
    <font>
      <b/>
      <sz val="12"/>
      <color rgb="FF333333"/>
      <name val="Aptos Narrow"/>
    </font>
    <font>
      <b/>
      <sz val="14.65"/>
      <color theme="1"/>
      <name val="Calibri"/>
      <family val="2"/>
    </font>
    <font>
      <sz val="14.65"/>
      <color rgb="FFC0392B"/>
      <name val="Calibri"/>
      <family val="2"/>
    </font>
    <font>
      <sz val="11"/>
      <color rgb="FF8B0000"/>
      <name val="Aptos Narrow"/>
    </font>
    <font>
      <b/>
      <sz val="11"/>
      <color rgb="FFFFFFFF"/>
      <name val="Aptos Narrow"/>
    </font>
    <font>
      <sz val="10"/>
      <color theme="1"/>
      <name val="Aptos Narrow"/>
    </font>
    <font>
      <sz val="14.65"/>
      <color rgb="FF9C5700"/>
      <name val="Calibri"/>
      <family val="2"/>
    </font>
    <font>
      <sz val="14.65"/>
      <color rgb="FF006100"/>
      <name val="Calibri"/>
      <family val="2"/>
    </font>
    <font>
      <b/>
      <sz val="14.65"/>
      <color rgb="FF006100"/>
      <name val="Calibri"/>
      <family val="2"/>
    </font>
    <font>
      <sz val="14.65"/>
      <color rgb="FF9C0006"/>
      <name val="Calibri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rgb="FF0064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006100"/>
      <name val="Calibri"/>
      <family val="2"/>
    </font>
    <font>
      <i/>
      <sz val="10"/>
      <color rgb="FF666666"/>
      <name val="Aptos Narrow"/>
    </font>
    <font>
      <b/>
      <sz val="11"/>
      <color rgb="FFFF0000"/>
      <name val="Aptos Narrow"/>
    </font>
    <font>
      <sz val="12"/>
      <color rgb="FFFFFFFF"/>
      <name val="Calibri"/>
      <family val="2"/>
      <scheme val="minor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9C0006"/>
      <name val="Aptos Narrow"/>
    </font>
    <font>
      <b/>
      <sz val="11"/>
      <color rgb="FF006100"/>
      <name val="Aptos Narrow"/>
    </font>
    <font>
      <b/>
      <sz val="10"/>
      <name val="Arial"/>
      <family val="2"/>
    </font>
    <font>
      <i/>
      <sz val="10"/>
      <color rgb="FFC65911"/>
      <name val="Aptos Narrow"/>
    </font>
    <font>
      <b/>
      <sz val="12"/>
      <color rgb="FF006100"/>
      <name val="Aptos Narrow"/>
    </font>
    <font>
      <sz val="10"/>
      <name val="Aptos Narrow"/>
    </font>
    <font>
      <i/>
      <sz val="10"/>
      <color rgb="FF0070C0"/>
      <name val="Aptos Narrow"/>
    </font>
    <font>
      <b/>
      <sz val="12"/>
      <name val="Arial"/>
      <family val="2"/>
    </font>
    <font>
      <b/>
      <sz val="10"/>
      <name val="Aptos Narrow"/>
    </font>
    <font>
      <b/>
      <sz val="11"/>
      <color rgb="FFFFFFFF"/>
      <name val="Aptos Narrow"/>
    </font>
    <font>
      <i/>
      <sz val="9"/>
      <color rgb="FF666666"/>
      <name val="Aptos Narrow"/>
    </font>
    <font>
      <sz val="12"/>
      <color rgb="FFFF0000"/>
      <name val="Calibri"/>
      <family val="2"/>
      <scheme val="minor"/>
    </font>
    <font>
      <b/>
      <sz val="11"/>
      <color rgb="FF375623"/>
      <name val="Aptos Narrow"/>
    </font>
    <font>
      <b/>
      <sz val="14"/>
      <color rgb="FFFFFFFF"/>
      <name val="Arial"/>
      <family val="2"/>
    </font>
    <font>
      <b/>
      <sz val="12"/>
      <color rgb="FF006400"/>
      <name val="Arial"/>
      <family val="2"/>
    </font>
    <font>
      <sz val="12"/>
      <color rgb="FF006400"/>
      <name val="Calibri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C0392B"/>
      </patternFill>
    </fill>
    <fill>
      <patternFill patternType="solid">
        <fgColor rgb="FFF2DCDB"/>
      </patternFill>
    </fill>
    <fill>
      <patternFill patternType="solid">
        <fgColor rgb="FFF39C12"/>
      </patternFill>
    </fill>
    <fill>
      <patternFill patternType="solid">
        <fgColor rgb="FFFEF3CD"/>
      </patternFill>
    </fill>
    <fill>
      <patternFill patternType="solid">
        <fgColor rgb="FFFFFF00"/>
      </patternFill>
    </fill>
    <fill>
      <patternFill patternType="solid">
        <fgColor rgb="FFE8D5F5"/>
      </patternFill>
    </fill>
    <fill>
      <patternFill patternType="solid">
        <fgColor rgb="FF8E44AD"/>
      </patternFill>
    </fill>
    <fill>
      <patternFill patternType="solid">
        <fgColor rgb="FFE8F5E9"/>
      </patternFill>
    </fill>
    <fill>
      <patternFill patternType="solid">
        <fgColor rgb="FFF9F5FF"/>
      </patternFill>
    </fill>
    <fill>
      <patternFill patternType="solid">
        <fgColor rgb="FFD5F5E3"/>
      </patternFill>
    </fill>
    <fill>
      <patternFill patternType="solid">
        <fgColor rgb="FFED7D31"/>
      </patternFill>
    </fill>
    <fill>
      <patternFill patternType="solid">
        <fgColor rgb="FFFBE5D6"/>
      </patternFill>
    </fill>
    <fill>
      <patternFill patternType="solid">
        <fgColor rgb="FF70AD47"/>
      </patternFill>
    </fill>
    <fill>
      <patternFill patternType="solid">
        <fgColor rgb="FFF5F5F5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1A2744"/>
      </patternFill>
    </fill>
    <fill>
      <patternFill patternType="solid">
        <fgColor rgb="FF243256"/>
      </patternFill>
    </fill>
    <fill>
      <patternFill patternType="solid">
        <fgColor rgb="FFC9952B"/>
      </patternFill>
    </fill>
    <fill>
      <patternFill patternType="solid">
        <fgColor rgb="FFFAFBFC"/>
      </patternFill>
    </fill>
    <fill>
      <patternFill patternType="solid">
        <fgColor rgb="FFF5F6F8"/>
      </patternFill>
    </fill>
    <fill>
      <patternFill patternType="solid">
        <fgColor rgb="FFEDF5EB"/>
      </patternFill>
    </fill>
    <fill>
      <patternFill patternType="solid">
        <fgColor rgb="FFF0F1F3"/>
      </patternFill>
    </fill>
    <fill>
      <patternFill patternType="solid">
        <fgColor rgb="FFFFF8E1"/>
      </patternFill>
    </fill>
    <fill>
      <patternFill patternType="solid">
        <fgColor rgb="FF4A6FA5"/>
      </patternFill>
    </fill>
    <fill>
      <patternFill patternType="solid">
        <fgColor rgb="FFD6DCE4"/>
      </patternFill>
    </fill>
    <fill>
      <patternFill patternType="solid">
        <fgColor rgb="FFFFA500"/>
      </patternFill>
    </fill>
    <fill>
      <patternFill patternType="solid">
        <fgColor rgb="FFFFCCCC"/>
      </patternFill>
    </fill>
    <fill>
      <patternFill patternType="solid">
        <fgColor rgb="FFFFFFCC"/>
      </patternFill>
    </fill>
    <fill>
      <patternFill patternType="solid">
        <fgColor rgb="FFD9D9D9"/>
      </patternFill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FFE5CC"/>
      </patternFill>
    </fill>
    <fill>
      <patternFill patternType="solid">
        <fgColor rgb="FFCCFFCC"/>
      </patternFill>
    </fill>
    <fill>
      <patternFill patternType="solid">
        <fgColor rgb="FF9C0006"/>
      </patternFill>
    </fill>
    <fill>
      <patternFill patternType="solid">
        <fgColor rgb="FFFFC000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FFE699"/>
      </patternFill>
    </fill>
    <fill>
      <patternFill patternType="solid">
        <fgColor rgb="FFB4C6E7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90EE90"/>
      </patternFill>
    </fill>
    <fill>
      <patternFill patternType="solid">
        <fgColor rgb="FF006400"/>
      </patternFill>
    </fill>
    <fill>
      <patternFill patternType="solid">
        <fgColor rgb="FFFF6347"/>
      </patternFill>
    </fill>
    <fill>
      <patternFill patternType="solid">
        <fgColor rgb="FFD6E4F0"/>
      </patternFill>
    </fill>
    <fill>
      <patternFill patternType="solid">
        <fgColor rgb="FFE0E0E0"/>
      </patternFill>
    </fill>
    <fill>
      <patternFill patternType="solid">
        <fgColor rgb="FFFF0000"/>
      </patternFill>
    </fill>
    <fill>
      <patternFill patternType="solid">
        <fgColor rgb="FF4472C4"/>
      </patternFill>
    </fill>
    <fill>
      <patternFill patternType="solid">
        <fgColor rgb="FFC00000"/>
      </patternFill>
    </fill>
    <fill>
      <patternFill patternType="solid">
        <fgColor rgb="FF1E7B46"/>
      </patternFill>
    </fill>
    <fill>
      <patternFill patternType="solid">
        <fgColor rgb="FFFFE5CC"/>
      </patternFill>
    </fill>
    <fill>
      <patternFill patternType="solid">
        <fgColor rgb="FFC00000"/>
      </patternFill>
    </fill>
    <fill>
      <patternFill patternType="solid">
        <fgColor rgb="FF8B0000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6FFE6"/>
      </patternFill>
    </fill>
    <fill>
      <patternFill patternType="solid">
        <fgColor rgb="FFE8E8E8"/>
      </patternFill>
    </fill>
    <fill>
      <patternFill patternType="solid">
        <fgColor rgb="FFFFFFE0"/>
      </patternFill>
    </fill>
    <fill>
      <patternFill patternType="solid">
        <fgColor rgb="FFFFE4B5"/>
      </patternFill>
    </fill>
    <fill>
      <patternFill patternType="solid">
        <fgColor rgb="FFFFC7CE"/>
      </patternFill>
    </fill>
    <fill>
      <patternFill patternType="solid">
        <fgColor rgb="FF2E75B6"/>
      </patternFill>
    </fill>
    <fill>
      <patternFill patternType="solid">
        <fgColor rgb="FFFFFFC7"/>
      </patternFill>
    </fill>
    <fill>
      <patternFill patternType="solid">
        <fgColor rgb="FF375623"/>
      </patternFill>
    </fill>
    <fill>
      <patternFill patternType="solid">
        <fgColor rgb="FFC65911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B3A5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DDDDDD"/>
      </right>
      <top style="thin">
        <color rgb="FF000000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000000"/>
      </top>
      <bottom style="thin">
        <color rgb="FFDDDDDD"/>
      </bottom>
      <diagonal/>
    </border>
    <border>
      <left style="thin">
        <color rgb="FFDDDDDD"/>
      </left>
      <right style="thin">
        <color rgb="FF000000"/>
      </right>
      <top style="thin">
        <color rgb="FF000000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000000"/>
      </left>
      <right style="thin">
        <color rgb="FFDDDDDD"/>
      </right>
      <top style="thin">
        <color rgb="FFDDDDDD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00000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E0E0E0"/>
      </top>
      <bottom style="medium">
        <color rgb="FF1A2744"/>
      </bottom>
      <diagonal/>
    </border>
    <border>
      <left/>
      <right/>
      <top/>
      <bottom style="medium">
        <color rgb="FF1A274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8B0000"/>
      </left>
      <right style="thick">
        <color rgb="FF8B0000"/>
      </right>
      <top style="thick">
        <color rgb="FF8B0000"/>
      </top>
      <bottom style="thick">
        <color rgb="FF8B0000"/>
      </bottom>
      <diagonal/>
    </border>
    <border>
      <left style="medium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 style="medium">
        <color rgb="FF1F4E78"/>
      </right>
      <top/>
      <bottom/>
      <diagonal/>
    </border>
    <border>
      <left style="medium">
        <color rgb="FF1F4E78"/>
      </left>
      <right/>
      <top style="thin">
        <color rgb="FF1F4E78"/>
      </top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rgb="FFD0D0D0"/>
      </bottom>
      <diagonal/>
    </border>
    <border>
      <left style="thick">
        <color rgb="FF000000"/>
      </left>
      <right/>
      <top/>
      <bottom/>
      <diagonal/>
    </border>
    <border>
      <left style="thin">
        <color rgb="FFDDDDDD"/>
      </left>
      <right style="thick">
        <color rgb="FF000000"/>
      </right>
      <top style="thin">
        <color rgb="FF000000"/>
      </top>
      <bottom style="thin">
        <color rgb="FFDDDDDD"/>
      </bottom>
      <diagonal/>
    </border>
    <border>
      <left style="thin">
        <color rgb="FFDDDDDD"/>
      </left>
      <right style="thick">
        <color rgb="FF000000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ck">
        <color rgb="FF000000"/>
      </right>
      <top style="thin">
        <color rgb="FFDDDDDD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8B0000"/>
      </right>
      <top style="thick">
        <color rgb="FF8B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9C0006"/>
      </left>
      <right/>
      <top style="medium">
        <color rgb="FF9C0006"/>
      </top>
      <bottom/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 style="medium">
        <color rgb="FF9C0006"/>
      </left>
      <right/>
      <top/>
      <bottom/>
      <diagonal/>
    </border>
    <border>
      <left/>
      <right style="medium">
        <color rgb="FF9C0006"/>
      </right>
      <top/>
      <bottom/>
      <diagonal/>
    </border>
    <border>
      <left style="medium">
        <color rgb="FF9C0006"/>
      </left>
      <right/>
      <top/>
      <bottom style="medium">
        <color rgb="FF9C0006"/>
      </bottom>
      <diagonal/>
    </border>
    <border>
      <left/>
      <right/>
      <top/>
      <bottom style="medium">
        <color rgb="FF9C0006"/>
      </bottom>
      <diagonal/>
    </border>
    <border>
      <left/>
      <right style="medium">
        <color rgb="FF9C0006"/>
      </right>
      <top/>
      <bottom style="medium">
        <color rgb="FF9C0006"/>
      </bottom>
      <diagonal/>
    </border>
    <border>
      <left/>
      <right/>
      <top style="medium">
        <color rgb="FF006600"/>
      </top>
      <bottom style="medium">
        <color rgb="FF006600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2E75B6"/>
      </bottom>
      <diagonal/>
    </border>
    <border>
      <left/>
      <right/>
      <top style="medium">
        <color rgb="FF2E75B6"/>
      </top>
      <bottom/>
      <diagonal/>
    </border>
  </borders>
  <cellStyleXfs count="1">
    <xf numFmtId="0" fontId="0" fillId="0" borderId="1"/>
  </cellStyleXfs>
  <cellXfs count="678">
    <xf numFmtId="0" fontId="0" fillId="0" borderId="1" xfId="0"/>
    <xf numFmtId="0" fontId="80" fillId="2" borderId="0" xfId="0" applyFont="1" applyFill="1" applyBorder="1" applyAlignment="1">
      <alignment horizontal="left" vertical="center"/>
    </xf>
    <xf numFmtId="0" fontId="82" fillId="0" borderId="0" xfId="0" applyFont="1" applyBorder="1" applyAlignment="1">
      <alignment vertical="top"/>
    </xf>
    <xf numFmtId="0" fontId="82" fillId="34" borderId="0" xfId="0" applyFont="1" applyFill="1" applyBorder="1" applyAlignment="1">
      <alignment vertical="top"/>
    </xf>
    <xf numFmtId="0" fontId="83" fillId="35" borderId="0" xfId="0" applyFont="1" applyFill="1" applyBorder="1" applyAlignment="1">
      <alignment vertical="top"/>
    </xf>
    <xf numFmtId="0" fontId="84" fillId="0" borderId="0" xfId="0" applyFont="1" applyBorder="1" applyAlignment="1">
      <alignment vertical="center"/>
    </xf>
    <xf numFmtId="0" fontId="86" fillId="36" borderId="0" xfId="0" applyFont="1" applyFill="1" applyBorder="1" applyAlignment="1">
      <alignment vertical="top"/>
    </xf>
    <xf numFmtId="0" fontId="88" fillId="0" borderId="0" xfId="0" applyFont="1" applyBorder="1" applyAlignment="1">
      <alignment vertical="center"/>
    </xf>
    <xf numFmtId="0" fontId="89" fillId="0" borderId="0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84" fillId="32" borderId="0" xfId="0" applyFont="1" applyFill="1" applyBorder="1" applyAlignment="1">
      <alignment horizontal="center" vertical="top"/>
    </xf>
    <xf numFmtId="10" fontId="92" fillId="0" borderId="0" xfId="0" applyNumberFormat="1" applyFont="1" applyBorder="1" applyAlignment="1">
      <alignment vertical="top"/>
    </xf>
    <xf numFmtId="0" fontId="93" fillId="38" borderId="0" xfId="0" applyFont="1" applyFill="1" applyBorder="1" applyAlignment="1">
      <alignment vertical="top"/>
    </xf>
    <xf numFmtId="0" fontId="94" fillId="0" borderId="0" xfId="0" applyFont="1" applyBorder="1" applyAlignment="1">
      <alignment vertical="top"/>
    </xf>
    <xf numFmtId="0" fontId="93" fillId="39" borderId="0" xfId="0" applyFont="1" applyFill="1" applyBorder="1" applyAlignment="1">
      <alignment vertical="top"/>
    </xf>
    <xf numFmtId="0" fontId="92" fillId="39" borderId="0" xfId="0" applyFont="1" applyFill="1" applyBorder="1" applyAlignment="1">
      <alignment vertical="top"/>
    </xf>
    <xf numFmtId="0" fontId="84" fillId="32" borderId="0" xfId="0" applyFont="1" applyFill="1" applyBorder="1" applyAlignment="1">
      <alignment vertical="center"/>
    </xf>
    <xf numFmtId="0" fontId="88" fillId="40" borderId="0" xfId="0" applyFont="1" applyFill="1" applyBorder="1" applyAlignment="1">
      <alignment horizontal="center" vertical="center"/>
    </xf>
    <xf numFmtId="0" fontId="88" fillId="41" borderId="0" xfId="0" applyFont="1" applyFill="1" applyBorder="1" applyAlignment="1">
      <alignment horizontal="center" vertical="center"/>
    </xf>
    <xf numFmtId="0" fontId="88" fillId="42" borderId="0" xfId="0" applyFont="1" applyFill="1" applyBorder="1" applyAlignment="1">
      <alignment horizontal="center" vertical="center"/>
    </xf>
    <xf numFmtId="0" fontId="88" fillId="38" borderId="0" xfId="0" applyFont="1" applyFill="1" applyBorder="1" applyAlignment="1">
      <alignment vertical="center"/>
    </xf>
    <xf numFmtId="0" fontId="84" fillId="39" borderId="0" xfId="0" applyFont="1" applyFill="1" applyBorder="1" applyAlignment="1">
      <alignment vertical="center"/>
    </xf>
    <xf numFmtId="0" fontId="98" fillId="0" borderId="0" xfId="0" applyFont="1" applyBorder="1" applyAlignment="1">
      <alignment vertical="top"/>
    </xf>
    <xf numFmtId="0" fontId="101" fillId="0" borderId="0" xfId="0" applyFont="1" applyBorder="1" applyAlignment="1">
      <alignment vertical="top"/>
    </xf>
    <xf numFmtId="0" fontId="102" fillId="0" borderId="0" xfId="0" applyFont="1" applyBorder="1" applyAlignment="1">
      <alignment vertical="top"/>
    </xf>
    <xf numFmtId="0" fontId="104" fillId="48" borderId="0" xfId="0" applyFont="1" applyFill="1" applyBorder="1" applyAlignment="1">
      <alignment horizontal="center" vertical="top"/>
    </xf>
    <xf numFmtId="0" fontId="93" fillId="0" borderId="18" xfId="0" applyFont="1" applyBorder="1" applyAlignment="1">
      <alignment horizontal="center" vertical="top"/>
    </xf>
    <xf numFmtId="0" fontId="105" fillId="0" borderId="18" xfId="0" applyFont="1" applyBorder="1" applyAlignment="1">
      <alignment horizontal="center" vertical="top"/>
    </xf>
    <xf numFmtId="0" fontId="106" fillId="0" borderId="18" xfId="0" applyFont="1" applyBorder="1" applyAlignment="1">
      <alignment horizontal="center" vertical="top"/>
    </xf>
    <xf numFmtId="0" fontId="107" fillId="0" borderId="18" xfId="0" applyFont="1" applyBorder="1" applyAlignment="1">
      <alignment horizontal="center" vertical="top"/>
    </xf>
    <xf numFmtId="0" fontId="108" fillId="0" borderId="18" xfId="0" applyFont="1" applyBorder="1" applyAlignment="1">
      <alignment horizontal="center" vertical="top"/>
    </xf>
    <xf numFmtId="0" fontId="109" fillId="0" borderId="18" xfId="0" applyFont="1" applyBorder="1" applyAlignment="1">
      <alignment horizontal="center" vertical="top"/>
    </xf>
    <xf numFmtId="0" fontId="110" fillId="49" borderId="0" xfId="0" applyFont="1" applyFill="1" applyBorder="1" applyAlignment="1">
      <alignment vertical="top"/>
    </xf>
    <xf numFmtId="0" fontId="116" fillId="0" borderId="0" xfId="0" applyFont="1" applyBorder="1" applyAlignment="1">
      <alignment vertical="top"/>
    </xf>
    <xf numFmtId="0" fontId="45" fillId="0" borderId="1" xfId="0" applyFont="1"/>
    <xf numFmtId="0" fontId="60" fillId="23" borderId="1" xfId="0" applyFont="1" applyFill="1"/>
    <xf numFmtId="0" fontId="45" fillId="23" borderId="1" xfId="0" applyFont="1" applyFill="1"/>
    <xf numFmtId="0" fontId="46" fillId="23" borderId="1" xfId="0" applyFont="1" applyFill="1" applyAlignment="1">
      <alignment horizontal="right"/>
    </xf>
    <xf numFmtId="0" fontId="46" fillId="23" borderId="1" xfId="0" applyFont="1" applyFill="1"/>
    <xf numFmtId="0" fontId="61" fillId="29" borderId="1" xfId="0" applyFont="1" applyFill="1"/>
    <xf numFmtId="0" fontId="45" fillId="29" borderId="1" xfId="0" applyFont="1" applyFill="1"/>
    <xf numFmtId="0" fontId="62" fillId="29" borderId="1" xfId="0" applyFont="1" applyFill="1" applyAlignment="1">
      <alignment horizontal="right"/>
    </xf>
    <xf numFmtId="0" fontId="119" fillId="0" borderId="1" xfId="0" applyFont="1"/>
    <xf numFmtId="0" fontId="45" fillId="25" borderId="1" xfId="0" applyFont="1" applyFill="1"/>
    <xf numFmtId="0" fontId="47" fillId="0" borderId="1" xfId="0" applyFont="1"/>
    <xf numFmtId="0" fontId="48" fillId="0" borderId="1" xfId="0" applyFont="1"/>
    <xf numFmtId="10" fontId="49" fillId="0" borderId="1" xfId="0" applyNumberFormat="1" applyFont="1"/>
    <xf numFmtId="49" fontId="121" fillId="0" borderId="1" xfId="0" applyNumberFormat="1" applyFont="1"/>
    <xf numFmtId="0" fontId="50" fillId="0" borderId="1" xfId="0" applyFont="1"/>
    <xf numFmtId="0" fontId="123" fillId="0" borderId="1" xfId="0" applyFont="1" applyAlignment="1">
      <alignment horizontal="center"/>
    </xf>
    <xf numFmtId="0" fontId="63" fillId="0" borderId="16" xfId="0" applyFont="1" applyBorder="1"/>
    <xf numFmtId="0" fontId="45" fillId="0" borderId="16" xfId="0" applyFont="1" applyBorder="1"/>
    <xf numFmtId="0" fontId="124" fillId="50" borderId="1" xfId="0" applyFont="1" applyFill="1"/>
    <xf numFmtId="0" fontId="64" fillId="27" borderId="1" xfId="0" applyFont="1" applyFill="1"/>
    <xf numFmtId="0" fontId="125" fillId="27" borderId="1" xfId="0" applyFont="1" applyFill="1"/>
    <xf numFmtId="0" fontId="45" fillId="26" borderId="1" xfId="0" applyFont="1" applyFill="1"/>
    <xf numFmtId="10" fontId="124" fillId="26" borderId="1" xfId="0" applyNumberFormat="1" applyFont="1" applyFill="1"/>
    <xf numFmtId="10" fontId="51" fillId="26" borderId="1" xfId="0" applyNumberFormat="1" applyFont="1" applyFill="1"/>
    <xf numFmtId="0" fontId="52" fillId="26" borderId="1" xfId="0" applyFont="1" applyFill="1"/>
    <xf numFmtId="0" fontId="51" fillId="26" borderId="1" xfId="0" applyFont="1" applyFill="1"/>
    <xf numFmtId="0" fontId="127" fillId="0" borderId="1" xfId="0" applyFont="1"/>
    <xf numFmtId="0" fontId="51" fillId="0" borderId="1" xfId="0" applyFont="1"/>
    <xf numFmtId="0" fontId="52" fillId="0" borderId="1" xfId="0" applyFont="1"/>
    <xf numFmtId="0" fontId="128" fillId="2" borderId="1" xfId="0" applyFont="1" applyFill="1" applyAlignment="1">
      <alignment horizontal="center"/>
    </xf>
    <xf numFmtId="10" fontId="119" fillId="26" borderId="1" xfId="0" applyNumberFormat="1" applyFont="1" applyFill="1"/>
    <xf numFmtId="9" fontId="45" fillId="26" borderId="1" xfId="0" applyNumberFormat="1" applyFont="1" applyFill="1"/>
    <xf numFmtId="0" fontId="129" fillId="51" borderId="1" xfId="0" applyFont="1" applyFill="1" applyAlignment="1">
      <alignment horizontal="left"/>
    </xf>
    <xf numFmtId="0" fontId="130" fillId="51" borderId="1" xfId="0" applyFont="1" applyFill="1" applyAlignment="1">
      <alignment horizontal="center"/>
    </xf>
    <xf numFmtId="0" fontId="129" fillId="51" borderId="1" xfId="0" applyFont="1" applyFill="1" applyAlignment="1">
      <alignment horizontal="right"/>
    </xf>
    <xf numFmtId="0" fontId="131" fillId="0" borderId="1" xfId="0" applyFont="1"/>
    <xf numFmtId="0" fontId="129" fillId="20" borderId="1" xfId="0" applyFont="1" applyFill="1" applyAlignment="1">
      <alignment horizontal="left"/>
    </xf>
    <xf numFmtId="0" fontId="130" fillId="20" borderId="1" xfId="0" applyFont="1" applyFill="1" applyAlignment="1">
      <alignment horizontal="center"/>
    </xf>
    <xf numFmtId="0" fontId="129" fillId="20" borderId="1" xfId="0" applyFont="1" applyFill="1" applyAlignment="1">
      <alignment horizontal="right"/>
    </xf>
    <xf numFmtId="0" fontId="0" fillId="0" borderId="21" xfId="0" applyBorder="1"/>
    <xf numFmtId="0" fontId="133" fillId="52" borderId="20" xfId="0" applyFont="1" applyFill="1" applyBorder="1"/>
    <xf numFmtId="0" fontId="133" fillId="50" borderId="20" xfId="0" applyFont="1" applyFill="1" applyBorder="1"/>
    <xf numFmtId="0" fontId="133" fillId="50" borderId="22" xfId="0" applyFont="1" applyFill="1" applyBorder="1"/>
    <xf numFmtId="10" fontId="53" fillId="26" borderId="1" xfId="0" applyNumberFormat="1" applyFont="1" applyFill="1"/>
    <xf numFmtId="10" fontId="54" fillId="26" borderId="1" xfId="0" applyNumberFormat="1" applyFont="1" applyFill="1"/>
    <xf numFmtId="10" fontId="52" fillId="26" borderId="1" xfId="0" applyNumberFormat="1" applyFont="1" applyFill="1"/>
    <xf numFmtId="0" fontId="129" fillId="0" borderId="1" xfId="0" applyFont="1" applyAlignment="1">
      <alignment horizontal="left"/>
    </xf>
    <xf numFmtId="0" fontId="129" fillId="40" borderId="1" xfId="0" applyFont="1" applyFill="1" applyAlignment="1">
      <alignment horizontal="center"/>
    </xf>
    <xf numFmtId="0" fontId="129" fillId="41" borderId="1" xfId="0" applyFont="1" applyFill="1" applyAlignment="1">
      <alignment horizontal="center"/>
    </xf>
    <xf numFmtId="0" fontId="129" fillId="42" borderId="1" xfId="0" applyFont="1" applyFill="1" applyAlignment="1">
      <alignment horizontal="center"/>
    </xf>
    <xf numFmtId="10" fontId="45" fillId="26" borderId="1" xfId="0" applyNumberFormat="1" applyFont="1" applyFill="1"/>
    <xf numFmtId="9" fontId="45" fillId="0" borderId="1" xfId="0" applyNumberFormat="1" applyFont="1"/>
    <xf numFmtId="0" fontId="55" fillId="27" borderId="1" xfId="0" applyFont="1" applyFill="1"/>
    <xf numFmtId="0" fontId="66" fillId="26" borderId="1" xfId="0" applyFont="1" applyFill="1"/>
    <xf numFmtId="0" fontId="66" fillId="0" borderId="1" xfId="0" applyFont="1"/>
    <xf numFmtId="0" fontId="53" fillId="26" borderId="1" xfId="0" applyFont="1" applyFill="1"/>
    <xf numFmtId="0" fontId="52" fillId="28" borderId="1" xfId="0" applyFont="1" applyFill="1"/>
    <xf numFmtId="0" fontId="45" fillId="28" borderId="1" xfId="0" applyFont="1" applyFill="1"/>
    <xf numFmtId="0" fontId="56" fillId="23" borderId="1" xfId="0" applyFont="1" applyFill="1"/>
    <xf numFmtId="0" fontId="57" fillId="23" borderId="1" xfId="0" applyFont="1" applyFill="1"/>
    <xf numFmtId="0" fontId="45" fillId="24" borderId="1" xfId="0" applyFont="1" applyFill="1"/>
    <xf numFmtId="0" fontId="65" fillId="24" borderId="1" xfId="0" applyFont="1" applyFill="1"/>
    <xf numFmtId="0" fontId="58" fillId="26" borderId="1" xfId="0" applyFont="1" applyFill="1"/>
    <xf numFmtId="0" fontId="58" fillId="0" borderId="1" xfId="0" applyFont="1"/>
    <xf numFmtId="0" fontId="133" fillId="0" borderId="24" xfId="0" applyFont="1" applyBorder="1"/>
    <xf numFmtId="0" fontId="133" fillId="54" borderId="24" xfId="0" applyFont="1" applyFill="1" applyBorder="1" applyAlignment="1">
      <alignment horizontal="center"/>
    </xf>
    <xf numFmtId="0" fontId="133" fillId="54" borderId="1" xfId="0" applyFont="1" applyFill="1" applyAlignment="1">
      <alignment horizontal="center"/>
    </xf>
    <xf numFmtId="0" fontId="133" fillId="54" borderId="21" xfId="0" applyFont="1" applyFill="1" applyBorder="1" applyAlignment="1">
      <alignment horizontal="center"/>
    </xf>
    <xf numFmtId="0" fontId="0" fillId="45" borderId="24" xfId="0" applyFill="1" applyBorder="1"/>
    <xf numFmtId="0" fontId="0" fillId="45" borderId="1" xfId="0" applyFill="1"/>
    <xf numFmtId="0" fontId="119" fillId="45" borderId="21" xfId="0" applyFont="1" applyFill="1" applyBorder="1"/>
    <xf numFmtId="0" fontId="0" fillId="55" borderId="24" xfId="0" applyFill="1" applyBorder="1"/>
    <xf numFmtId="0" fontId="0" fillId="55" borderId="1" xfId="0" applyFill="1"/>
    <xf numFmtId="0" fontId="119" fillId="55" borderId="21" xfId="0" applyFont="1" applyFill="1" applyBorder="1"/>
    <xf numFmtId="0" fontId="0" fillId="55" borderId="25" xfId="0" applyFill="1" applyBorder="1"/>
    <xf numFmtId="0" fontId="0" fillId="55" borderId="26" xfId="0" applyFill="1" applyBorder="1"/>
    <xf numFmtId="0" fontId="119" fillId="55" borderId="23" xfId="0" applyFont="1" applyFill="1" applyBorder="1"/>
    <xf numFmtId="0" fontId="59" fillId="0" borderId="15" xfId="0" applyFont="1" applyBorder="1"/>
    <xf numFmtId="0" fontId="45" fillId="0" borderId="15" xfId="0" applyFont="1" applyBorder="1"/>
    <xf numFmtId="0" fontId="12" fillId="0" borderId="1" xfId="0" applyFont="1"/>
    <xf numFmtId="0" fontId="128" fillId="31" borderId="1" xfId="0" applyFont="1" applyFill="1" applyAlignment="1">
      <alignment horizontal="center"/>
    </xf>
    <xf numFmtId="0" fontId="136" fillId="56" borderId="1" xfId="0" applyFont="1" applyFill="1" applyAlignment="1">
      <alignment horizontal="center"/>
    </xf>
    <xf numFmtId="0" fontId="136" fillId="57" borderId="1" xfId="0" applyFont="1" applyFill="1" applyAlignment="1">
      <alignment horizontal="center"/>
    </xf>
    <xf numFmtId="0" fontId="15" fillId="0" borderId="1" xfId="0" applyFont="1"/>
    <xf numFmtId="0" fontId="137" fillId="57" borderId="1" xfId="0" applyFont="1" applyFill="1" applyAlignment="1">
      <alignment horizontal="center"/>
    </xf>
    <xf numFmtId="0" fontId="138" fillId="57" borderId="27" xfId="0" applyFont="1" applyFill="1" applyBorder="1" applyAlignment="1">
      <alignment horizontal="center"/>
    </xf>
    <xf numFmtId="0" fontId="139" fillId="58" borderId="1" xfId="0" applyFont="1" applyFill="1" applyAlignment="1">
      <alignment horizontal="center"/>
    </xf>
    <xf numFmtId="49" fontId="140" fillId="0" borderId="1" xfId="0" applyNumberFormat="1" applyFont="1"/>
    <xf numFmtId="0" fontId="15" fillId="57" borderId="1" xfId="0" applyFont="1" applyFill="1" applyAlignment="1">
      <alignment horizontal="center"/>
    </xf>
    <xf numFmtId="0" fontId="15" fillId="56" borderId="1" xfId="0" applyFont="1" applyFill="1" applyAlignment="1">
      <alignment horizontal="center"/>
    </xf>
    <xf numFmtId="0" fontId="139" fillId="59" borderId="1" xfId="0" applyFont="1" applyFill="1" applyAlignment="1">
      <alignment horizontal="center"/>
    </xf>
    <xf numFmtId="0" fontId="67" fillId="0" borderId="1" xfId="0" applyFont="1"/>
    <xf numFmtId="0" fontId="1" fillId="0" borderId="1" xfId="0" applyFont="1"/>
    <xf numFmtId="0" fontId="68" fillId="0" borderId="1" xfId="0" applyFont="1"/>
    <xf numFmtId="0" fontId="11" fillId="7" borderId="1" xfId="0" applyFont="1" applyFill="1" applyAlignment="1">
      <alignment wrapText="1"/>
    </xf>
    <xf numFmtId="0" fontId="1" fillId="7" borderId="1" xfId="0" applyFont="1" applyFill="1"/>
    <xf numFmtId="0" fontId="2" fillId="8" borderId="1" xfId="0" applyFont="1" applyFill="1" applyAlignment="1">
      <alignment wrapText="1"/>
    </xf>
    <xf numFmtId="0" fontId="2" fillId="8" borderId="1" xfId="0" applyFont="1" applyFill="1"/>
    <xf numFmtId="0" fontId="1" fillId="0" borderId="1" xfId="0" applyFont="1" applyAlignment="1">
      <alignment wrapText="1"/>
    </xf>
    <xf numFmtId="0" fontId="4" fillId="0" borderId="1" xfId="0" applyFont="1"/>
    <xf numFmtId="165" fontId="4" fillId="0" borderId="1" xfId="0" applyNumberFormat="1" applyFont="1"/>
    <xf numFmtId="166" fontId="1" fillId="0" borderId="1" xfId="0" applyNumberFormat="1" applyFont="1"/>
    <xf numFmtId="0" fontId="2" fillId="0" borderId="3" xfId="0" applyFont="1" applyBorder="1" applyAlignment="1">
      <alignment wrapText="1"/>
    </xf>
    <xf numFmtId="0" fontId="2" fillId="0" borderId="3" xfId="0" applyFont="1" applyBorder="1"/>
    <xf numFmtId="166" fontId="2" fillId="0" borderId="3" xfId="0" applyNumberFormat="1" applyFont="1" applyBorder="1"/>
    <xf numFmtId="0" fontId="11" fillId="4" borderId="1" xfId="0" applyFont="1" applyFill="1" applyAlignment="1">
      <alignment wrapText="1"/>
    </xf>
    <xf numFmtId="0" fontId="1" fillId="4" borderId="1" xfId="0" applyFont="1" applyFill="1"/>
    <xf numFmtId="0" fontId="2" fillId="3" borderId="1" xfId="0" applyFont="1" applyFill="1" applyAlignment="1">
      <alignment wrapText="1"/>
    </xf>
    <xf numFmtId="0" fontId="2" fillId="3" borderId="1" xfId="0" applyFont="1" applyFill="1"/>
    <xf numFmtId="0" fontId="1" fillId="0" borderId="3" xfId="0" applyFont="1" applyBorder="1"/>
    <xf numFmtId="166" fontId="1" fillId="0" borderId="3" xfId="0" applyNumberFormat="1" applyFont="1" applyBorder="1"/>
    <xf numFmtId="0" fontId="11" fillId="9" borderId="1" xfId="0" applyFont="1" applyFill="1" applyAlignment="1">
      <alignment wrapText="1"/>
    </xf>
    <xf numFmtId="0" fontId="1" fillId="9" borderId="1" xfId="0" applyFont="1" applyFill="1"/>
    <xf numFmtId="0" fontId="2" fillId="10" borderId="1" xfId="0" applyFont="1" applyFill="1" applyAlignment="1">
      <alignment wrapText="1"/>
    </xf>
    <xf numFmtId="0" fontId="2" fillId="10" borderId="1" xfId="0" applyFont="1" applyFill="1"/>
    <xf numFmtId="0" fontId="2" fillId="0" borderId="1" xfId="0" applyFont="1" applyAlignment="1">
      <alignment wrapText="1"/>
    </xf>
    <xf numFmtId="164" fontId="1" fillId="0" borderId="1" xfId="0" applyNumberFormat="1" applyFont="1"/>
    <xf numFmtId="0" fontId="2" fillId="6" borderId="1" xfId="0" applyFont="1" applyFill="1" applyAlignment="1">
      <alignment wrapText="1"/>
    </xf>
    <xf numFmtId="0" fontId="1" fillId="6" borderId="1" xfId="0" applyFont="1" applyFill="1"/>
    <xf numFmtId="0" fontId="7" fillId="0" borderId="1" xfId="0" applyFont="1" applyAlignment="1">
      <alignment wrapText="1"/>
    </xf>
    <xf numFmtId="0" fontId="7" fillId="0" borderId="1" xfId="0" applyFont="1"/>
    <xf numFmtId="0" fontId="39" fillId="0" borderId="1" xfId="0" applyFont="1"/>
    <xf numFmtId="0" fontId="40" fillId="0" borderId="1" xfId="0" applyFont="1"/>
    <xf numFmtId="0" fontId="1" fillId="0" borderId="2" xfId="0" applyFont="1" applyBorder="1"/>
    <xf numFmtId="0" fontId="6" fillId="7" borderId="1" xfId="0" applyFont="1" applyFill="1"/>
    <xf numFmtId="0" fontId="3" fillId="3" borderId="1" xfId="0" applyFont="1" applyFill="1" applyAlignment="1">
      <alignment wrapText="1"/>
    </xf>
    <xf numFmtId="0" fontId="3" fillId="3" borderId="1" xfId="0" applyFont="1" applyFill="1"/>
    <xf numFmtId="0" fontId="5" fillId="0" borderId="1" xfId="0" applyFont="1"/>
    <xf numFmtId="0" fontId="2" fillId="0" borderId="1" xfId="0" applyFont="1"/>
    <xf numFmtId="0" fontId="13" fillId="11" borderId="1" xfId="0" applyFont="1" applyFill="1"/>
    <xf numFmtId="0" fontId="14" fillId="0" borderId="1" xfId="0" applyFont="1"/>
    <xf numFmtId="0" fontId="2" fillId="12" borderId="1" xfId="0" applyFont="1" applyFill="1"/>
    <xf numFmtId="0" fontId="1" fillId="12" borderId="1" xfId="0" applyFont="1" applyFill="1"/>
    <xf numFmtId="0" fontId="2" fillId="11" borderId="1" xfId="0" applyFont="1" applyFill="1"/>
    <xf numFmtId="164" fontId="2" fillId="11" borderId="1" xfId="0" applyNumberFormat="1" applyFont="1" applyFill="1"/>
    <xf numFmtId="165" fontId="1" fillId="0" borderId="1" xfId="0" applyNumberFormat="1" applyFont="1"/>
    <xf numFmtId="165" fontId="2" fillId="11" borderId="1" xfId="0" applyNumberFormat="1" applyFont="1" applyFill="1"/>
    <xf numFmtId="166" fontId="2" fillId="11" borderId="1" xfId="0" applyNumberFormat="1" applyFont="1" applyFill="1"/>
    <xf numFmtId="168" fontId="1" fillId="0" borderId="1" xfId="0" applyNumberFormat="1" applyFont="1"/>
    <xf numFmtId="168" fontId="2" fillId="11" borderId="1" xfId="0" applyNumberFormat="1" applyFont="1" applyFill="1"/>
    <xf numFmtId="0" fontId="6" fillId="4" borderId="1" xfId="0" applyFont="1" applyFill="1" applyAlignment="1">
      <alignment wrapText="1"/>
    </xf>
    <xf numFmtId="169" fontId="1" fillId="4" borderId="1" xfId="0" applyNumberFormat="1" applyFont="1" applyFill="1"/>
    <xf numFmtId="169" fontId="1" fillId="0" borderId="1" xfId="0" applyNumberFormat="1" applyFont="1"/>
    <xf numFmtId="169" fontId="2" fillId="11" borderId="1" xfId="0" applyNumberFormat="1" applyFont="1" applyFill="1"/>
    <xf numFmtId="0" fontId="20" fillId="0" borderId="1" xfId="0" applyFont="1" applyAlignment="1">
      <alignment wrapText="1"/>
    </xf>
    <xf numFmtId="166" fontId="2" fillId="3" borderId="1" xfId="0" applyNumberFormat="1" applyFont="1" applyFill="1"/>
    <xf numFmtId="10" fontId="4" fillId="0" borderId="1" xfId="0" applyNumberFormat="1" applyFont="1"/>
    <xf numFmtId="164" fontId="4" fillId="0" borderId="1" xfId="0" applyNumberFormat="1" applyFont="1"/>
    <xf numFmtId="10" fontId="0" fillId="0" borderId="1" xfId="0" applyNumberFormat="1"/>
    <xf numFmtId="0" fontId="142" fillId="0" borderId="1" xfId="0" applyFont="1"/>
    <xf numFmtId="0" fontId="133" fillId="0" borderId="1" xfId="0" applyFont="1"/>
    <xf numFmtId="10" fontId="133" fillId="33" borderId="1" xfId="0" applyNumberFormat="1" applyFont="1" applyFill="1"/>
    <xf numFmtId="0" fontId="143" fillId="33" borderId="1" xfId="0" applyFont="1" applyFill="1"/>
    <xf numFmtId="10" fontId="143" fillId="33" borderId="1" xfId="0" applyNumberFormat="1" applyFont="1" applyFill="1"/>
    <xf numFmtId="165" fontId="17" fillId="7" borderId="1" xfId="0" applyNumberFormat="1" applyFont="1" applyFill="1"/>
    <xf numFmtId="165" fontId="4" fillId="7" borderId="1" xfId="0" applyNumberFormat="1" applyFont="1" applyFill="1"/>
    <xf numFmtId="165" fontId="1" fillId="7" borderId="1" xfId="0" applyNumberFormat="1" applyFont="1" applyFill="1"/>
    <xf numFmtId="164" fontId="2" fillId="8" borderId="1" xfId="0" applyNumberFormat="1" applyFont="1" applyFill="1"/>
    <xf numFmtId="165" fontId="1" fillId="0" borderId="1" xfId="0" applyNumberFormat="1" applyFont="1" applyAlignment="1">
      <alignment wrapText="1"/>
    </xf>
    <xf numFmtId="0" fontId="133" fillId="61" borderId="1" xfId="0" applyFont="1" applyFill="1" applyAlignment="1">
      <alignment horizontal="center"/>
    </xf>
    <xf numFmtId="9" fontId="1" fillId="0" borderId="1" xfId="0" applyNumberFormat="1" applyFont="1"/>
    <xf numFmtId="9" fontId="4" fillId="0" borderId="1" xfId="0" applyNumberFormat="1" applyFont="1"/>
    <xf numFmtId="2" fontId="4" fillId="0" borderId="1" xfId="0" applyNumberFormat="1" applyFont="1" applyAlignment="1">
      <alignment wrapText="1"/>
    </xf>
    <xf numFmtId="2" fontId="4" fillId="0" borderId="1" xfId="0" applyNumberFormat="1" applyFont="1"/>
    <xf numFmtId="0" fontId="6" fillId="5" borderId="1" xfId="0" applyFont="1" applyFill="1"/>
    <xf numFmtId="0" fontId="1" fillId="5" borderId="1" xfId="0" applyFont="1" applyFill="1"/>
    <xf numFmtId="0" fontId="2" fillId="6" borderId="1" xfId="0" applyFont="1" applyFill="1"/>
    <xf numFmtId="164" fontId="9" fillId="0" borderId="1" xfId="0" applyNumberFormat="1" applyFont="1"/>
    <xf numFmtId="166" fontId="4" fillId="0" borderId="1" xfId="0" applyNumberFormat="1" applyFont="1"/>
    <xf numFmtId="167" fontId="4" fillId="0" borderId="1" xfId="0" applyNumberFormat="1" applyFont="1"/>
    <xf numFmtId="0" fontId="6" fillId="9" borderId="1" xfId="0" applyFont="1" applyFill="1"/>
    <xf numFmtId="0" fontId="10" fillId="0" borderId="1" xfId="0" applyFont="1"/>
    <xf numFmtId="166" fontId="2" fillId="0" borderId="1" xfId="0" applyNumberFormat="1" applyFont="1"/>
    <xf numFmtId="3" fontId="1" fillId="0" borderId="1" xfId="0" applyNumberFormat="1" applyFont="1"/>
    <xf numFmtId="0" fontId="16" fillId="0" borderId="1" xfId="0" applyFont="1"/>
    <xf numFmtId="0" fontId="146" fillId="0" borderId="1" xfId="0" applyFont="1"/>
    <xf numFmtId="0" fontId="11" fillId="17" borderId="1" xfId="0" applyFont="1" applyFill="1" applyAlignment="1">
      <alignment wrapText="1"/>
    </xf>
    <xf numFmtId="0" fontId="1" fillId="17" borderId="1" xfId="0" applyFont="1" applyFill="1"/>
    <xf numFmtId="0" fontId="2" fillId="18" borderId="1" xfId="0" applyFont="1" applyFill="1" applyAlignment="1">
      <alignment wrapText="1"/>
    </xf>
    <xf numFmtId="0" fontId="2" fillId="18" borderId="1" xfId="0" applyFont="1" applyFill="1"/>
    <xf numFmtId="0" fontId="11" fillId="19" borderId="1" xfId="0" applyFont="1" applyFill="1" applyAlignment="1">
      <alignment wrapText="1"/>
    </xf>
    <xf numFmtId="0" fontId="1" fillId="19" borderId="1" xfId="0" applyFont="1" applyFill="1"/>
    <xf numFmtId="0" fontId="11" fillId="2" borderId="1" xfId="0" applyFont="1" applyFill="1" applyAlignment="1">
      <alignment wrapText="1"/>
    </xf>
    <xf numFmtId="0" fontId="1" fillId="2" borderId="1" xfId="0" applyFont="1" applyFill="1"/>
    <xf numFmtId="4" fontId="1" fillId="0" borderId="1" xfId="0" applyNumberFormat="1" applyFont="1"/>
    <xf numFmtId="170" fontId="1" fillId="0" borderId="1" xfId="0" applyNumberFormat="1" applyFont="1"/>
    <xf numFmtId="170" fontId="2" fillId="0" borderId="3" xfId="0" applyNumberFormat="1" applyFont="1" applyBorder="1"/>
    <xf numFmtId="170" fontId="25" fillId="0" borderId="1" xfId="0" applyNumberFormat="1" applyFont="1"/>
    <xf numFmtId="0" fontId="32" fillId="0" borderId="1" xfId="0" applyFont="1"/>
    <xf numFmtId="0" fontId="33" fillId="0" borderId="1" xfId="0" applyFont="1"/>
    <xf numFmtId="0" fontId="11" fillId="2" borderId="1" xfId="0" applyFont="1" applyFill="1" applyAlignment="1">
      <alignment horizontal="center"/>
    </xf>
    <xf numFmtId="0" fontId="1" fillId="3" borderId="1" xfId="0" applyFont="1" applyFill="1"/>
    <xf numFmtId="0" fontId="1" fillId="20" borderId="1" xfId="0" applyFont="1" applyFill="1" applyAlignment="1">
      <alignment wrapText="1"/>
    </xf>
    <xf numFmtId="3" fontId="1" fillId="20" borderId="1" xfId="0" applyNumberFormat="1" applyFont="1" applyFill="1"/>
    <xf numFmtId="164" fontId="8" fillId="0" borderId="1" xfId="0" applyNumberFormat="1" applyFont="1"/>
    <xf numFmtId="165" fontId="8" fillId="0" borderId="1" xfId="0" applyNumberFormat="1" applyFont="1"/>
    <xf numFmtId="165" fontId="1" fillId="20" borderId="1" xfId="0" applyNumberFormat="1" applyFont="1" applyFill="1"/>
    <xf numFmtId="0" fontId="11" fillId="5" borderId="1" xfId="0" applyFont="1" applyFill="1" applyAlignment="1">
      <alignment wrapText="1"/>
    </xf>
    <xf numFmtId="170" fontId="1" fillId="20" borderId="1" xfId="0" applyNumberFormat="1" applyFont="1" applyFill="1"/>
    <xf numFmtId="0" fontId="2" fillId="0" borderId="4" xfId="0" applyFont="1" applyBorder="1" applyAlignment="1">
      <alignment wrapText="1"/>
    </xf>
    <xf numFmtId="170" fontId="2" fillId="0" borderId="4" xfId="0" applyNumberFormat="1" applyFont="1" applyBorder="1"/>
    <xf numFmtId="0" fontId="1" fillId="10" borderId="1" xfId="0" applyFont="1" applyFill="1"/>
    <xf numFmtId="0" fontId="32" fillId="0" borderId="1" xfId="0" applyFont="1" applyAlignment="1">
      <alignment wrapText="1"/>
    </xf>
    <xf numFmtId="0" fontId="11" fillId="21" borderId="1" xfId="0" applyFont="1" applyFill="1" applyAlignment="1">
      <alignment wrapText="1"/>
    </xf>
    <xf numFmtId="0" fontId="11" fillId="21" borderId="1" xfId="0" applyFont="1" applyFill="1" applyAlignment="1">
      <alignment horizontal="center"/>
    </xf>
    <xf numFmtId="0" fontId="2" fillId="12" borderId="1" xfId="0" applyFont="1" applyFill="1" applyAlignment="1">
      <alignment wrapText="1"/>
    </xf>
    <xf numFmtId="170" fontId="8" fillId="12" borderId="1" xfId="0" applyNumberFormat="1" applyFont="1" applyFill="1"/>
    <xf numFmtId="0" fontId="2" fillId="0" borderId="5" xfId="0" applyFont="1" applyBorder="1" applyAlignment="1">
      <alignment wrapText="1"/>
    </xf>
    <xf numFmtId="170" fontId="2" fillId="0" borderId="5" xfId="0" applyNumberFormat="1" applyFont="1" applyBorder="1"/>
    <xf numFmtId="170" fontId="4" fillId="0" borderId="1" xfId="0" applyNumberFormat="1" applyFont="1"/>
    <xf numFmtId="0" fontId="33" fillId="0" borderId="1" xfId="0" applyFont="1" applyAlignment="1">
      <alignment wrapText="1"/>
    </xf>
    <xf numFmtId="0" fontId="0" fillId="0" borderId="1" xfId="0" applyAlignment="1">
      <alignment wrapText="1"/>
    </xf>
    <xf numFmtId="0" fontId="69" fillId="0" borderId="1" xfId="0" applyFont="1"/>
    <xf numFmtId="0" fontId="11" fillId="2" borderId="1" xfId="0" applyFont="1" applyFill="1"/>
    <xf numFmtId="171" fontId="1" fillId="0" borderId="1" xfId="0" applyNumberFormat="1" applyFont="1"/>
    <xf numFmtId="0" fontId="1" fillId="22" borderId="1" xfId="0" applyFont="1" applyFill="1" applyAlignment="1">
      <alignment wrapText="1"/>
    </xf>
    <xf numFmtId="171" fontId="1" fillId="22" borderId="1" xfId="0" applyNumberFormat="1" applyFont="1" applyFill="1"/>
    <xf numFmtId="170" fontId="1" fillId="0" borderId="3" xfId="0" applyNumberFormat="1" applyFont="1" applyBorder="1"/>
    <xf numFmtId="170" fontId="18" fillId="0" borderId="1" xfId="0" applyNumberFormat="1" applyFont="1"/>
    <xf numFmtId="0" fontId="151" fillId="63" borderId="1" xfId="0" applyFont="1" applyFill="1" applyAlignment="1">
      <alignment horizontal="center"/>
    </xf>
    <xf numFmtId="170" fontId="2" fillId="0" borderId="1" xfId="0" applyNumberFormat="1" applyFont="1"/>
    <xf numFmtId="0" fontId="151" fillId="63" borderId="1" xfId="0" applyFont="1" applyFill="1" applyAlignment="1">
      <alignment horizontal="right"/>
    </xf>
    <xf numFmtId="0" fontId="152" fillId="64" borderId="1" xfId="0" applyFont="1" applyFill="1" applyAlignment="1">
      <alignment horizontal="right"/>
    </xf>
    <xf numFmtId="0" fontId="153" fillId="38" borderId="1" xfId="0" applyFont="1" applyFill="1" applyAlignment="1">
      <alignment horizontal="right"/>
    </xf>
    <xf numFmtId="0" fontId="153" fillId="39" borderId="1" xfId="0" applyFont="1" applyFill="1" applyAlignment="1">
      <alignment horizontal="right"/>
    </xf>
    <xf numFmtId="0" fontId="154" fillId="39" borderId="28" xfId="0" applyFont="1" applyFill="1" applyBorder="1" applyAlignment="1">
      <alignment horizontal="right"/>
    </xf>
    <xf numFmtId="0" fontId="152" fillId="65" borderId="1" xfId="0" applyFont="1" applyFill="1" applyAlignment="1">
      <alignment horizontal="right"/>
    </xf>
    <xf numFmtId="0" fontId="9" fillId="0" borderId="1" xfId="0" applyFont="1"/>
    <xf numFmtId="43" fontId="2" fillId="0" borderId="1" xfId="0" applyNumberFormat="1" applyFont="1"/>
    <xf numFmtId="169" fontId="2" fillId="0" borderId="1" xfId="0" applyNumberFormat="1" applyFont="1"/>
    <xf numFmtId="4" fontId="0" fillId="0" borderId="1" xfId="0" applyNumberFormat="1"/>
    <xf numFmtId="173" fontId="1" fillId="0" borderId="1" xfId="0" applyNumberFormat="1" applyFont="1"/>
    <xf numFmtId="174" fontId="1" fillId="0" borderId="1" xfId="0" applyNumberFormat="1" applyFont="1"/>
    <xf numFmtId="173" fontId="2" fillId="0" borderId="1" xfId="0" applyNumberFormat="1" applyFont="1"/>
    <xf numFmtId="167" fontId="1" fillId="0" borderId="1" xfId="0" applyNumberFormat="1" applyFont="1"/>
    <xf numFmtId="0" fontId="121" fillId="32" borderId="1" xfId="0" applyFont="1" applyFill="1" applyAlignment="1">
      <alignment horizontal="left"/>
    </xf>
    <xf numFmtId="0" fontId="129" fillId="55" borderId="32" xfId="0" applyFont="1" applyFill="1" applyBorder="1" applyAlignment="1">
      <alignment horizontal="left"/>
    </xf>
    <xf numFmtId="165" fontId="2" fillId="8" borderId="7" xfId="0" applyNumberFormat="1" applyFont="1" applyFill="1" applyBorder="1" applyAlignment="1">
      <alignment horizontal="center"/>
    </xf>
    <xf numFmtId="165" fontId="2" fillId="8" borderId="8" xfId="0" applyNumberFormat="1" applyFont="1" applyFill="1" applyBorder="1" applyAlignment="1">
      <alignment horizontal="center"/>
    </xf>
    <xf numFmtId="0" fontId="129" fillId="20" borderId="32" xfId="0" applyFont="1" applyFill="1" applyBorder="1" applyAlignment="1">
      <alignment horizontal="left"/>
    </xf>
    <xf numFmtId="0" fontId="156" fillId="0" borderId="33" xfId="0" applyFont="1" applyBorder="1"/>
    <xf numFmtId="9" fontId="2" fillId="8" borderId="9" xfId="0" applyNumberFormat="1" applyFont="1" applyFill="1" applyBorder="1"/>
    <xf numFmtId="164" fontId="18" fillId="0" borderId="10" xfId="0" applyNumberFormat="1" applyFont="1" applyBorder="1" applyAlignment="1">
      <alignment horizontal="center"/>
    </xf>
    <xf numFmtId="164" fontId="159" fillId="0" borderId="35" xfId="0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0" fontId="133" fillId="36" borderId="33" xfId="0" applyFont="1" applyFill="1" applyBorder="1" applyAlignment="1">
      <alignment horizontal="center"/>
    </xf>
    <xf numFmtId="0" fontId="133" fillId="36" borderId="1" xfId="0" applyFont="1" applyFill="1" applyAlignment="1">
      <alignment horizontal="center"/>
    </xf>
    <xf numFmtId="164" fontId="35" fillId="0" borderId="11" xfId="0" applyNumberFormat="1" applyFont="1" applyBorder="1" applyAlignment="1">
      <alignment horizontal="center"/>
    </xf>
    <xf numFmtId="0" fontId="0" fillId="45" borderId="33" xfId="0" applyFill="1" applyBorder="1" applyAlignment="1">
      <alignment horizontal="left"/>
    </xf>
    <xf numFmtId="0" fontId="0" fillId="45" borderId="1" xfId="0" applyFill="1" applyAlignment="1">
      <alignment horizontal="left"/>
    </xf>
    <xf numFmtId="164" fontId="35" fillId="0" borderId="10" xfId="0" applyNumberFormat="1" applyFont="1" applyBorder="1" applyAlignment="1">
      <alignment horizontal="center"/>
    </xf>
    <xf numFmtId="0" fontId="0" fillId="55" borderId="33" xfId="0" applyFill="1" applyBorder="1" applyAlignment="1">
      <alignment horizontal="left"/>
    </xf>
    <xf numFmtId="0" fontId="0" fillId="55" borderId="1" xfId="0" applyFill="1" applyAlignment="1">
      <alignment horizontal="left"/>
    </xf>
    <xf numFmtId="164" fontId="8" fillId="0" borderId="11" xfId="0" applyNumberFormat="1" applyFont="1" applyBorder="1" applyAlignment="1">
      <alignment horizontal="center"/>
    </xf>
    <xf numFmtId="164" fontId="25" fillId="11" borderId="10" xfId="0" applyNumberFormat="1" applyFont="1" applyFill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9" fontId="2" fillId="8" borderId="12" xfId="0" applyNumberFormat="1" applyFont="1" applyFill="1" applyBorder="1"/>
    <xf numFmtId="164" fontId="18" fillId="0" borderId="13" xfId="0" applyNumberFormat="1" applyFont="1" applyBorder="1" applyAlignment="1">
      <alignment horizontal="center"/>
    </xf>
    <xf numFmtId="164" fontId="159" fillId="0" borderId="36" xfId="0" applyNumberFormat="1" applyFont="1" applyBorder="1" applyAlignment="1">
      <alignment horizontal="center"/>
    </xf>
    <xf numFmtId="164" fontId="35" fillId="0" borderId="13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156" fillId="0" borderId="37" xfId="0" applyFont="1" applyBorder="1"/>
    <xf numFmtId="0" fontId="156" fillId="3" borderId="37" xfId="0" applyFont="1" applyFill="1" applyBorder="1"/>
    <xf numFmtId="0" fontId="158" fillId="3" borderId="37" xfId="0" applyFont="1" applyFill="1" applyBorder="1"/>
    <xf numFmtId="164" fontId="156" fillId="0" borderId="37" xfId="0" applyNumberFormat="1" applyFont="1" applyBorder="1"/>
    <xf numFmtId="169" fontId="156" fillId="0" borderId="37" xfId="0" applyNumberFormat="1" applyFont="1" applyBorder="1"/>
    <xf numFmtId="0" fontId="121" fillId="32" borderId="41" xfId="0" applyFont="1" applyFill="1" applyBorder="1" applyAlignment="1">
      <alignment horizontal="left"/>
    </xf>
    <xf numFmtId="0" fontId="121" fillId="32" borderId="41" xfId="0" applyFont="1" applyFill="1" applyBorder="1" applyAlignment="1">
      <alignment horizontal="center"/>
    </xf>
    <xf numFmtId="0" fontId="129" fillId="55" borderId="32" xfId="0" applyFont="1" applyFill="1" applyBorder="1" applyAlignment="1">
      <alignment horizontal="right"/>
    </xf>
    <xf numFmtId="0" fontId="150" fillId="55" borderId="32" xfId="0" applyFont="1" applyFill="1" applyBorder="1" applyAlignment="1">
      <alignment horizontal="left"/>
    </xf>
    <xf numFmtId="0" fontId="129" fillId="20" borderId="32" xfId="0" applyFont="1" applyFill="1" applyBorder="1" applyAlignment="1">
      <alignment horizontal="right"/>
    </xf>
    <xf numFmtId="0" fontId="150" fillId="20" borderId="32" xfId="0" applyFont="1" applyFill="1" applyBorder="1" applyAlignment="1">
      <alignment horizontal="left"/>
    </xf>
    <xf numFmtId="0" fontId="121" fillId="32" borderId="41" xfId="0" applyFont="1" applyFill="1" applyBorder="1" applyAlignment="1">
      <alignment horizontal="right"/>
    </xf>
    <xf numFmtId="0" fontId="129" fillId="55" borderId="32" xfId="0" applyFont="1" applyFill="1" applyBorder="1" applyAlignment="1">
      <alignment horizontal="center"/>
    </xf>
    <xf numFmtId="0" fontId="129" fillId="20" borderId="32" xfId="0" applyFont="1" applyFill="1" applyBorder="1" applyAlignment="1">
      <alignment horizontal="center"/>
    </xf>
    <xf numFmtId="0" fontId="129" fillId="69" borderId="32" xfId="0" applyFont="1" applyFill="1" applyBorder="1" applyAlignment="1">
      <alignment horizontal="center"/>
    </xf>
    <xf numFmtId="0" fontId="129" fillId="69" borderId="32" xfId="0" applyFont="1" applyFill="1" applyBorder="1" applyAlignment="1">
      <alignment horizontal="right"/>
    </xf>
    <xf numFmtId="0" fontId="129" fillId="39" borderId="32" xfId="0" applyFont="1" applyFill="1" applyBorder="1" applyAlignment="1">
      <alignment horizontal="center"/>
    </xf>
    <xf numFmtId="0" fontId="129" fillId="39" borderId="32" xfId="0" applyFont="1" applyFill="1" applyBorder="1" applyAlignment="1">
      <alignment horizontal="right"/>
    </xf>
    <xf numFmtId="0" fontId="121" fillId="39" borderId="32" xfId="0" applyFont="1" applyFill="1" applyBorder="1" applyAlignment="1">
      <alignment horizontal="center"/>
    </xf>
    <xf numFmtId="0" fontId="121" fillId="38" borderId="32" xfId="0" applyFont="1" applyFill="1" applyBorder="1" applyAlignment="1">
      <alignment horizontal="center"/>
    </xf>
    <xf numFmtId="0" fontId="129" fillId="38" borderId="32" xfId="0" applyFont="1" applyFill="1" applyBorder="1" applyAlignment="1">
      <alignment horizontal="center"/>
    </xf>
    <xf numFmtId="0" fontId="151" fillId="65" borderId="1" xfId="0" applyFont="1" applyFill="1" applyAlignment="1">
      <alignment horizontal="center"/>
    </xf>
    <xf numFmtId="0" fontId="25" fillId="3" borderId="1" xfId="0" applyFont="1" applyFill="1"/>
    <xf numFmtId="0" fontId="20" fillId="3" borderId="1" xfId="0" applyFont="1" applyFill="1"/>
    <xf numFmtId="0" fontId="7" fillId="3" borderId="1" xfId="0" applyFont="1" applyFill="1"/>
    <xf numFmtId="9" fontId="5" fillId="0" borderId="1" xfId="0" applyNumberFormat="1" applyFont="1"/>
    <xf numFmtId="0" fontId="2" fillId="22" borderId="1" xfId="0" applyFont="1" applyFill="1" applyAlignment="1">
      <alignment wrapText="1"/>
    </xf>
    <xf numFmtId="0" fontId="1" fillId="22" borderId="1" xfId="0" applyFont="1" applyFill="1"/>
    <xf numFmtId="164" fontId="25" fillId="0" borderId="1" xfId="0" applyNumberFormat="1" applyFont="1"/>
    <xf numFmtId="164" fontId="20" fillId="0" borderId="1" xfId="0" applyNumberFormat="1" applyFont="1"/>
    <xf numFmtId="164" fontId="7" fillId="0" borderId="1" xfId="0" applyNumberFormat="1" applyFont="1"/>
    <xf numFmtId="164" fontId="3" fillId="0" borderId="1" xfId="0" applyNumberFormat="1" applyFont="1"/>
    <xf numFmtId="178" fontId="18" fillId="0" borderId="1" xfId="0" applyNumberFormat="1" applyFont="1"/>
    <xf numFmtId="179" fontId="36" fillId="0" borderId="1" xfId="0" applyNumberFormat="1" applyFont="1"/>
    <xf numFmtId="178" fontId="37" fillId="0" borderId="1" xfId="0" applyNumberFormat="1" applyFont="1"/>
    <xf numFmtId="178" fontId="3" fillId="0" borderId="1" xfId="0" applyNumberFormat="1" applyFont="1"/>
    <xf numFmtId="168" fontId="163" fillId="70" borderId="1" xfId="0" applyNumberFormat="1" applyFont="1" applyFill="1"/>
    <xf numFmtId="168" fontId="164" fillId="71" borderId="1" xfId="0" applyNumberFormat="1" applyFont="1" applyFill="1"/>
    <xf numFmtId="168" fontId="37" fillId="0" borderId="1" xfId="0" applyNumberFormat="1" applyFont="1"/>
    <xf numFmtId="168" fontId="165" fillId="71" borderId="1" xfId="0" applyNumberFormat="1" applyFont="1" applyFill="1"/>
    <xf numFmtId="169" fontId="166" fillId="72" borderId="1" xfId="0" applyNumberFormat="1" applyFont="1" applyFill="1"/>
    <xf numFmtId="169" fontId="36" fillId="0" borderId="1" xfId="0" applyNumberFormat="1" applyFont="1"/>
    <xf numFmtId="169" fontId="37" fillId="0" borderId="1" xfId="0" applyNumberFormat="1" applyFont="1"/>
    <xf numFmtId="169" fontId="3" fillId="0" borderId="1" xfId="0" applyNumberFormat="1" applyFont="1"/>
    <xf numFmtId="170" fontId="36" fillId="0" borderId="1" xfId="0" applyNumberFormat="1" applyFont="1"/>
    <xf numFmtId="170" fontId="37" fillId="0" borderId="1" xfId="0" applyNumberFormat="1" applyFont="1"/>
    <xf numFmtId="170" fontId="3" fillId="0" borderId="1" xfId="0" applyNumberFormat="1" applyFont="1"/>
    <xf numFmtId="166" fontId="18" fillId="0" borderId="1" xfId="0" applyNumberFormat="1" applyFont="1"/>
    <xf numFmtId="166" fontId="36" fillId="0" borderId="1" xfId="0" applyNumberFormat="1" applyFont="1"/>
    <xf numFmtId="166" fontId="37" fillId="0" borderId="1" xfId="0" applyNumberFormat="1" applyFont="1"/>
    <xf numFmtId="166" fontId="3" fillId="0" borderId="1" xfId="0" applyNumberFormat="1" applyFont="1"/>
    <xf numFmtId="164" fontId="9" fillId="10" borderId="1" xfId="0" applyNumberFormat="1" applyFont="1" applyFill="1"/>
    <xf numFmtId="0" fontId="38" fillId="10" borderId="1" xfId="0" applyFont="1" applyFill="1"/>
    <xf numFmtId="0" fontId="1" fillId="8" borderId="1" xfId="0" applyFont="1" applyFill="1"/>
    <xf numFmtId="0" fontId="18" fillId="0" borderId="1" xfId="0" applyFont="1"/>
    <xf numFmtId="0" fontId="167" fillId="72" borderId="1" xfId="0" applyFont="1" applyFill="1"/>
    <xf numFmtId="0" fontId="168" fillId="70" borderId="1" xfId="0" applyFont="1" applyFill="1"/>
    <xf numFmtId="0" fontId="169" fillId="71" borderId="1" xfId="0" applyFont="1" applyFill="1"/>
    <xf numFmtId="0" fontId="36" fillId="0" borderId="1" xfId="0" applyFont="1"/>
    <xf numFmtId="0" fontId="37" fillId="0" borderId="1" xfId="0" applyFont="1"/>
    <xf numFmtId="0" fontId="121" fillId="32" borderId="1" xfId="0" applyFont="1" applyFill="1" applyAlignment="1">
      <alignment horizontal="center" vertical="center"/>
    </xf>
    <xf numFmtId="0" fontId="129" fillId="0" borderId="1" xfId="0" applyFont="1" applyAlignment="1">
      <alignment horizontal="left" vertical="center"/>
    </xf>
    <xf numFmtId="0" fontId="170" fillId="0" borderId="1" xfId="0" applyFont="1" applyAlignment="1">
      <alignment horizontal="center" vertical="center"/>
    </xf>
    <xf numFmtId="0" fontId="171" fillId="72" borderId="1" xfId="0" applyFont="1" applyFill="1" applyAlignment="1">
      <alignment horizontal="center" vertical="center"/>
    </xf>
    <xf numFmtId="0" fontId="172" fillId="70" borderId="1" xfId="0" applyFont="1" applyFill="1" applyAlignment="1">
      <alignment horizontal="center" vertical="center"/>
    </xf>
    <xf numFmtId="0" fontId="173" fillId="71" borderId="1" xfId="0" applyFont="1" applyFill="1" applyAlignment="1">
      <alignment horizontal="center" vertical="center"/>
    </xf>
    <xf numFmtId="0" fontId="121" fillId="0" borderId="1" xfId="0" applyFont="1" applyAlignment="1">
      <alignment vertical="center"/>
    </xf>
    <xf numFmtId="0" fontId="6" fillId="13" borderId="1" xfId="0" applyFont="1" applyFill="1"/>
    <xf numFmtId="0" fontId="1" fillId="13" borderId="1" xfId="0" applyFont="1" applyFill="1"/>
    <xf numFmtId="0" fontId="72" fillId="27" borderId="1" xfId="0" applyFont="1" applyFill="1" applyAlignment="1">
      <alignment wrapText="1"/>
    </xf>
    <xf numFmtId="0" fontId="3" fillId="10" borderId="1" xfId="0" applyFont="1" applyFill="1" applyAlignment="1">
      <alignment wrapText="1"/>
    </xf>
    <xf numFmtId="0" fontId="1" fillId="14" borderId="1" xfId="0" applyFont="1" applyFill="1" applyAlignment="1">
      <alignment wrapText="1"/>
    </xf>
    <xf numFmtId="0" fontId="1" fillId="10" borderId="1" xfId="0" applyFont="1" applyFill="1" applyAlignment="1">
      <alignment wrapText="1"/>
    </xf>
    <xf numFmtId="0" fontId="25" fillId="10" borderId="1" xfId="0" applyFont="1" applyFill="1" applyAlignment="1">
      <alignment wrapText="1"/>
    </xf>
    <xf numFmtId="0" fontId="9" fillId="14" borderId="1" xfId="0" applyFont="1" applyFill="1" applyAlignment="1">
      <alignment wrapText="1"/>
    </xf>
    <xf numFmtId="0" fontId="3" fillId="15" borderId="1" xfId="0" applyFont="1" applyFill="1" applyAlignment="1">
      <alignment wrapText="1"/>
    </xf>
    <xf numFmtId="0" fontId="1" fillId="15" borderId="1" xfId="0" applyFont="1" applyFill="1" applyAlignment="1">
      <alignment wrapText="1"/>
    </xf>
    <xf numFmtId="0" fontId="3" fillId="0" borderId="1" xfId="0" applyFont="1" applyAlignment="1">
      <alignment wrapText="1"/>
    </xf>
    <xf numFmtId="0" fontId="25" fillId="0" borderId="1" xfId="0" applyFont="1" applyAlignment="1">
      <alignment wrapText="1"/>
    </xf>
    <xf numFmtId="0" fontId="70" fillId="0" borderId="17" xfId="0" applyFont="1" applyBorder="1"/>
    <xf numFmtId="0" fontId="63" fillId="0" borderId="17" xfId="0" applyFont="1" applyBorder="1"/>
    <xf numFmtId="0" fontId="2" fillId="12" borderId="1" xfId="0" applyFont="1" applyFill="1" applyAlignment="1">
      <alignment horizontal="center"/>
    </xf>
    <xf numFmtId="0" fontId="19" fillId="0" borderId="1" xfId="0" applyFont="1"/>
    <xf numFmtId="172" fontId="1" fillId="0" borderId="1" xfId="0" applyNumberFormat="1" applyFont="1"/>
    <xf numFmtId="0" fontId="9" fillId="14" borderId="1" xfId="0" applyFont="1" applyFill="1"/>
    <xf numFmtId="172" fontId="1" fillId="14" borderId="1" xfId="0" applyNumberFormat="1" applyFont="1" applyFill="1"/>
    <xf numFmtId="164" fontId="2" fillId="0" borderId="1" xfId="0" applyNumberFormat="1" applyFont="1"/>
    <xf numFmtId="172" fontId="1" fillId="3" borderId="1" xfId="0" applyNumberFormat="1" applyFont="1" applyFill="1"/>
    <xf numFmtId="172" fontId="18" fillId="0" borderId="1" xfId="0" applyNumberFormat="1" applyFont="1"/>
    <xf numFmtId="172" fontId="2" fillId="0" borderId="1" xfId="0" applyNumberFormat="1" applyFont="1"/>
    <xf numFmtId="0" fontId="53" fillId="0" borderId="1" xfId="0" applyFont="1"/>
    <xf numFmtId="164" fontId="1" fillId="7" borderId="1" xfId="0" applyNumberFormat="1" applyFont="1" applyFill="1"/>
    <xf numFmtId="172" fontId="1" fillId="7" borderId="1" xfId="0" applyNumberFormat="1" applyFont="1" applyFill="1"/>
    <xf numFmtId="0" fontId="26" fillId="16" borderId="1" xfId="0" applyFont="1" applyFill="1"/>
    <xf numFmtId="172" fontId="1" fillId="16" borderId="1" xfId="0" applyNumberFormat="1" applyFont="1" applyFill="1"/>
    <xf numFmtId="0" fontId="63" fillId="27" borderId="17" xfId="0" applyFont="1" applyFill="1" applyBorder="1" applyAlignment="1">
      <alignment wrapText="1"/>
    </xf>
    <xf numFmtId="170" fontId="1" fillId="0" borderId="1" xfId="0" applyNumberFormat="1" applyFont="1" applyAlignment="1">
      <alignment wrapText="1"/>
    </xf>
    <xf numFmtId="170" fontId="8" fillId="0" borderId="1" xfId="0" applyNumberFormat="1" applyFont="1" applyAlignment="1">
      <alignment wrapText="1"/>
    </xf>
    <xf numFmtId="170" fontId="18" fillId="0" borderId="1" xfId="0" applyNumberFormat="1" applyFont="1" applyAlignment="1">
      <alignment wrapText="1"/>
    </xf>
    <xf numFmtId="0" fontId="74" fillId="30" borderId="1" xfId="0" applyFont="1" applyFill="1" applyAlignment="1">
      <alignment wrapText="1"/>
    </xf>
    <xf numFmtId="164" fontId="75" fillId="30" borderId="1" xfId="0" applyNumberFormat="1" applyFont="1" applyFill="1" applyAlignment="1">
      <alignment wrapText="1"/>
    </xf>
    <xf numFmtId="164" fontId="76" fillId="30" borderId="1" xfId="0" applyNumberFormat="1" applyFont="1" applyFill="1" applyAlignment="1">
      <alignment wrapText="1"/>
    </xf>
    <xf numFmtId="164" fontId="25" fillId="30" borderId="1" xfId="0" applyNumberFormat="1" applyFont="1" applyFill="1" applyAlignment="1">
      <alignment wrapText="1"/>
    </xf>
    <xf numFmtId="164" fontId="2" fillId="30" borderId="1" xfId="0" applyNumberFormat="1" applyFont="1" applyFill="1" applyAlignment="1">
      <alignment wrapText="1"/>
    </xf>
    <xf numFmtId="166" fontId="2" fillId="14" borderId="1" xfId="0" applyNumberFormat="1" applyFont="1" applyFill="1" applyAlignment="1">
      <alignment wrapText="1"/>
    </xf>
    <xf numFmtId="166" fontId="2" fillId="0" borderId="1" xfId="0" applyNumberFormat="1" applyFont="1" applyAlignment="1">
      <alignment wrapText="1"/>
    </xf>
    <xf numFmtId="166" fontId="1" fillId="0" borderId="1" xfId="0" applyNumberFormat="1" applyFont="1" applyAlignment="1">
      <alignment wrapText="1"/>
    </xf>
    <xf numFmtId="175" fontId="2" fillId="14" borderId="1" xfId="0" applyNumberFormat="1" applyFont="1" applyFill="1" applyAlignment="1">
      <alignment wrapText="1"/>
    </xf>
    <xf numFmtId="175" fontId="2" fillId="0" borderId="1" xfId="0" applyNumberFormat="1" applyFont="1" applyAlignment="1">
      <alignment wrapText="1"/>
    </xf>
    <xf numFmtId="175" fontId="1" fillId="0" borderId="1" xfId="0" applyNumberFormat="1" applyFont="1" applyAlignment="1">
      <alignment wrapText="1"/>
    </xf>
    <xf numFmtId="176" fontId="1" fillId="14" borderId="1" xfId="0" applyNumberFormat="1" applyFont="1" applyFill="1" applyAlignment="1">
      <alignment wrapText="1"/>
    </xf>
    <xf numFmtId="177" fontId="1" fillId="0" borderId="1" xfId="0" applyNumberFormat="1" applyFont="1" applyAlignment="1">
      <alignment wrapText="1"/>
    </xf>
    <xf numFmtId="164" fontId="9" fillId="0" borderId="1" xfId="0" applyNumberFormat="1" applyFont="1" applyAlignment="1">
      <alignment wrapText="1"/>
    </xf>
    <xf numFmtId="164" fontId="25" fillId="0" borderId="1" xfId="0" applyNumberFormat="1" applyFont="1" applyAlignment="1">
      <alignment wrapText="1"/>
    </xf>
    <xf numFmtId="0" fontId="9" fillId="16" borderId="1" xfId="0" applyFont="1" applyFill="1" applyAlignment="1">
      <alignment wrapText="1"/>
    </xf>
    <xf numFmtId="0" fontId="1" fillId="16" borderId="1" xfId="0" applyFont="1" applyFill="1" applyAlignment="1">
      <alignment wrapText="1"/>
    </xf>
    <xf numFmtId="0" fontId="3" fillId="8" borderId="1" xfId="0" applyFont="1" applyFill="1" applyAlignment="1">
      <alignment wrapText="1"/>
    </xf>
    <xf numFmtId="0" fontId="1" fillId="8" borderId="1" xfId="0" applyFont="1" applyFill="1" applyAlignment="1">
      <alignment wrapText="1"/>
    </xf>
    <xf numFmtId="0" fontId="70" fillId="0" borderId="17" xfId="0" applyFont="1" applyBorder="1" applyAlignment="1">
      <alignment wrapText="1"/>
    </xf>
    <xf numFmtId="0" fontId="63" fillId="0" borderId="17" xfId="0" applyFont="1" applyBorder="1" applyAlignment="1">
      <alignment wrapText="1"/>
    </xf>
    <xf numFmtId="0" fontId="22" fillId="0" borderId="1" xfId="0" applyFont="1"/>
    <xf numFmtId="0" fontId="21" fillId="0" borderId="1" xfId="0" applyFont="1"/>
    <xf numFmtId="0" fontId="41" fillId="14" borderId="1" xfId="0" applyFont="1" applyFill="1" applyAlignment="1">
      <alignment wrapText="1"/>
    </xf>
    <xf numFmtId="0" fontId="21" fillId="14" borderId="1" xfId="0" applyFont="1" applyFill="1" applyAlignment="1">
      <alignment wrapText="1"/>
    </xf>
    <xf numFmtId="4" fontId="21" fillId="14" borderId="1" xfId="0" applyNumberFormat="1" applyFont="1" applyFill="1" applyAlignment="1">
      <alignment wrapText="1"/>
    </xf>
    <xf numFmtId="4" fontId="21" fillId="0" borderId="1" xfId="0" applyNumberFormat="1" applyFont="1"/>
    <xf numFmtId="0" fontId="42" fillId="14" borderId="1" xfId="0" applyFont="1" applyFill="1" applyAlignment="1">
      <alignment wrapText="1"/>
    </xf>
    <xf numFmtId="0" fontId="22" fillId="14" borderId="1" xfId="0" applyFont="1" applyFill="1" applyAlignment="1">
      <alignment wrapText="1"/>
    </xf>
    <xf numFmtId="4" fontId="22" fillId="14" borderId="1" xfId="0" applyNumberFormat="1" applyFont="1" applyFill="1" applyAlignment="1">
      <alignment wrapText="1"/>
    </xf>
    <xf numFmtId="4" fontId="22" fillId="0" borderId="1" xfId="0" applyNumberFormat="1" applyFont="1"/>
    <xf numFmtId="0" fontId="22" fillId="0" borderId="1" xfId="0" applyFont="1" applyAlignment="1">
      <alignment wrapText="1"/>
    </xf>
    <xf numFmtId="4" fontId="22" fillId="0" borderId="1" xfId="0" applyNumberFormat="1" applyFont="1" applyAlignment="1">
      <alignment wrapText="1"/>
    </xf>
    <xf numFmtId="0" fontId="43" fillId="0" borderId="1" xfId="0" applyFont="1" applyAlignment="1">
      <alignment wrapText="1"/>
    </xf>
    <xf numFmtId="0" fontId="27" fillId="0" borderId="1" xfId="0" applyFont="1" applyAlignment="1">
      <alignment wrapText="1"/>
    </xf>
    <xf numFmtId="0" fontId="44" fillId="9" borderId="1" xfId="0" applyFont="1" applyFill="1" applyAlignment="1">
      <alignment wrapText="1"/>
    </xf>
    <xf numFmtId="0" fontId="0" fillId="9" borderId="1" xfId="0" applyFill="1" applyAlignment="1">
      <alignment wrapText="1"/>
    </xf>
    <xf numFmtId="0" fontId="27" fillId="10" borderId="1" xfId="0" applyFont="1" applyFill="1" applyAlignment="1">
      <alignment wrapText="1"/>
    </xf>
    <xf numFmtId="0" fontId="23" fillId="0" borderId="1" xfId="0" applyFont="1" applyAlignment="1">
      <alignment wrapText="1"/>
    </xf>
    <xf numFmtId="0" fontId="71" fillId="0" borderId="17" xfId="0" applyFont="1" applyBorder="1" applyAlignment="1">
      <alignment wrapText="1"/>
    </xf>
    <xf numFmtId="0" fontId="71" fillId="0" borderId="17" xfId="0" applyFont="1" applyBorder="1"/>
    <xf numFmtId="0" fontId="23" fillId="12" borderId="1" xfId="0" applyFont="1" applyFill="1" applyAlignment="1">
      <alignment wrapText="1"/>
    </xf>
    <xf numFmtId="0" fontId="28" fillId="15" borderId="1" xfId="0" applyFont="1" applyFill="1" applyAlignment="1">
      <alignment wrapText="1"/>
    </xf>
    <xf numFmtId="0" fontId="0" fillId="15" borderId="1" xfId="0" applyFill="1" applyAlignment="1">
      <alignment wrapText="1"/>
    </xf>
    <xf numFmtId="0" fontId="28" fillId="0" borderId="1" xfId="0" applyFont="1" applyAlignment="1">
      <alignment wrapText="1"/>
    </xf>
    <xf numFmtId="0" fontId="29" fillId="0" borderId="1" xfId="0" applyFont="1" applyAlignment="1">
      <alignment wrapText="1"/>
    </xf>
    <xf numFmtId="0" fontId="30" fillId="15" borderId="1" xfId="0" applyFont="1" applyFill="1" applyAlignment="1">
      <alignment wrapText="1"/>
    </xf>
    <xf numFmtId="0" fontId="24" fillId="0" borderId="1" xfId="0" applyFont="1"/>
    <xf numFmtId="0" fontId="73" fillId="28" borderId="1" xfId="0" applyFont="1" applyFill="1"/>
    <xf numFmtId="0" fontId="0" fillId="28" borderId="1" xfId="0" applyFill="1"/>
    <xf numFmtId="0" fontId="31" fillId="0" borderId="1" xfId="0" applyFont="1"/>
    <xf numFmtId="0" fontId="8" fillId="0" borderId="1" xfId="0" applyFont="1" applyAlignment="1">
      <alignment wrapText="1"/>
    </xf>
    <xf numFmtId="0" fontId="35" fillId="0" borderId="1" xfId="0" applyFont="1" applyAlignment="1">
      <alignment wrapText="1"/>
    </xf>
    <xf numFmtId="0" fontId="18" fillId="0" borderId="1" xfId="0" applyFont="1" applyAlignment="1">
      <alignment wrapText="1"/>
    </xf>
    <xf numFmtId="0" fontId="2" fillId="0" borderId="1" xfId="0" applyFont="1" applyAlignment="1">
      <alignment horizontal="center" wrapText="1"/>
    </xf>
    <xf numFmtId="0" fontId="2" fillId="11" borderId="1" xfId="0" applyFont="1" applyFill="1" applyAlignment="1">
      <alignment horizontal="center"/>
    </xf>
    <xf numFmtId="0" fontId="8" fillId="0" borderId="1" xfId="0" applyFont="1"/>
    <xf numFmtId="10" fontId="1" fillId="0" borderId="1" xfId="0" applyNumberFormat="1" applyFont="1"/>
    <xf numFmtId="10" fontId="8" fillId="0" borderId="1" xfId="0" applyNumberFormat="1" applyFont="1"/>
    <xf numFmtId="0" fontId="174" fillId="0" borderId="0" xfId="0" applyFont="1" applyBorder="1" applyAlignment="1">
      <alignment vertical="top"/>
    </xf>
    <xf numFmtId="10" fontId="93" fillId="0" borderId="0" xfId="0" applyNumberFormat="1" applyFont="1" applyBorder="1" applyAlignment="1">
      <alignment vertical="top"/>
    </xf>
    <xf numFmtId="0" fontId="86" fillId="0" borderId="0" xfId="0" applyFont="1" applyBorder="1" applyAlignment="1">
      <alignment vertical="top"/>
    </xf>
    <xf numFmtId="10" fontId="86" fillId="0" borderId="0" xfId="0" applyNumberFormat="1" applyFont="1" applyBorder="1" applyAlignment="1">
      <alignment vertical="top"/>
    </xf>
    <xf numFmtId="0" fontId="86" fillId="0" borderId="0" xfId="0" applyFont="1" applyBorder="1" applyAlignment="1">
      <alignment horizontal="center" vertical="top"/>
    </xf>
    <xf numFmtId="2" fontId="93" fillId="0" borderId="0" xfId="0" applyNumberFormat="1" applyFont="1" applyBorder="1" applyAlignment="1">
      <alignment vertical="top"/>
    </xf>
    <xf numFmtId="2" fontId="86" fillId="0" borderId="0" xfId="0" applyNumberFormat="1" applyFont="1" applyBorder="1" applyAlignment="1">
      <alignment vertical="top"/>
    </xf>
    <xf numFmtId="10" fontId="86" fillId="75" borderId="0" xfId="0" applyNumberFormat="1" applyFont="1" applyFill="1" applyBorder="1" applyAlignment="1">
      <alignment vertical="top"/>
    </xf>
    <xf numFmtId="10" fontId="116" fillId="71" borderId="0" xfId="0" applyNumberFormat="1" applyFont="1" applyFill="1" applyBorder="1" applyAlignment="1">
      <alignment vertical="top"/>
    </xf>
    <xf numFmtId="0" fontId="175" fillId="0" borderId="0" xfId="0" applyFont="1" applyBorder="1" applyAlignment="1">
      <alignment vertical="top"/>
    </xf>
    <xf numFmtId="10" fontId="175" fillId="0" borderId="0" xfId="0" applyNumberFormat="1" applyFont="1" applyBorder="1" applyAlignment="1">
      <alignment vertical="top"/>
    </xf>
    <xf numFmtId="0" fontId="86" fillId="76" borderId="0" xfId="0" applyFont="1" applyFill="1" applyBorder="1" applyAlignment="1">
      <alignment vertical="top"/>
    </xf>
    <xf numFmtId="10" fontId="86" fillId="0" borderId="0" xfId="0" applyNumberFormat="1" applyFont="1" applyBorder="1" applyAlignment="1">
      <alignment horizontal="center" vertical="top"/>
    </xf>
    <xf numFmtId="0" fontId="176" fillId="0" borderId="0" xfId="0" applyFont="1" applyBorder="1" applyAlignment="1">
      <alignment vertical="top"/>
    </xf>
    <xf numFmtId="10" fontId="176" fillId="0" borderId="0" xfId="0" applyNumberFormat="1" applyFont="1" applyBorder="1" applyAlignment="1">
      <alignment vertical="top"/>
    </xf>
    <xf numFmtId="10" fontId="86" fillId="71" borderId="0" xfId="0" applyNumberFormat="1" applyFont="1" applyFill="1" applyBorder="1" applyAlignment="1">
      <alignment vertical="top"/>
    </xf>
    <xf numFmtId="0" fontId="93" fillId="0" borderId="45" xfId="0" applyFont="1" applyBorder="1" applyAlignment="1">
      <alignment vertical="top"/>
    </xf>
    <xf numFmtId="0" fontId="93" fillId="0" borderId="46" xfId="0" applyFont="1" applyBorder="1" applyAlignment="1">
      <alignment vertical="top"/>
    </xf>
    <xf numFmtId="0" fontId="181" fillId="0" borderId="45" xfId="0" applyFont="1" applyBorder="1" applyAlignment="1">
      <alignment vertical="top"/>
    </xf>
    <xf numFmtId="0" fontId="111" fillId="32" borderId="0" xfId="0" applyFont="1" applyFill="1" applyBorder="1" applyAlignment="1">
      <alignment horizontal="center" vertical="top"/>
    </xf>
    <xf numFmtId="0" fontId="111" fillId="0" borderId="0" xfId="0" applyFont="1" applyBorder="1" applyAlignment="1">
      <alignment vertical="top"/>
    </xf>
    <xf numFmtId="4" fontId="93" fillId="0" borderId="0" xfId="0" applyNumberFormat="1" applyFont="1" applyBorder="1" applyAlignment="1">
      <alignment horizontal="right" vertical="top"/>
    </xf>
    <xf numFmtId="0" fontId="111" fillId="20" borderId="0" xfId="0" applyFont="1" applyFill="1" applyBorder="1" applyAlignment="1">
      <alignment vertical="top"/>
    </xf>
    <xf numFmtId="4" fontId="93" fillId="20" borderId="0" xfId="0" applyNumberFormat="1" applyFont="1" applyFill="1" applyBorder="1" applyAlignment="1">
      <alignment horizontal="right" vertical="top"/>
    </xf>
    <xf numFmtId="0" fontId="93" fillId="20" borderId="0" xfId="0" applyFont="1" applyFill="1" applyBorder="1" applyAlignment="1">
      <alignment vertical="top"/>
    </xf>
    <xf numFmtId="0" fontId="184" fillId="32" borderId="0" xfId="0" applyFont="1" applyFill="1" applyBorder="1" applyAlignment="1">
      <alignment horizontal="center" vertical="top"/>
    </xf>
    <xf numFmtId="4" fontId="93" fillId="20" borderId="0" xfId="0" applyNumberFormat="1" applyFont="1" applyFill="1" applyBorder="1" applyAlignment="1">
      <alignment vertical="top"/>
    </xf>
    <xf numFmtId="4" fontId="93" fillId="0" borderId="0" xfId="0" applyNumberFormat="1" applyFont="1" applyBorder="1" applyAlignment="1">
      <alignment vertical="top"/>
    </xf>
    <xf numFmtId="0" fontId="111" fillId="38" borderId="0" xfId="0" applyFont="1" applyFill="1" applyBorder="1" applyAlignment="1">
      <alignment vertical="top"/>
    </xf>
    <xf numFmtId="4" fontId="93" fillId="38" borderId="0" xfId="0" applyNumberFormat="1" applyFont="1" applyFill="1" applyBorder="1" applyAlignment="1">
      <alignment vertical="top"/>
    </xf>
    <xf numFmtId="0" fontId="111" fillId="39" borderId="0" xfId="0" applyFont="1" applyFill="1" applyBorder="1" applyAlignment="1">
      <alignment vertical="top"/>
    </xf>
    <xf numFmtId="4" fontId="93" fillId="39" borderId="0" xfId="0" applyNumberFormat="1" applyFont="1" applyFill="1" applyBorder="1" applyAlignment="1">
      <alignment vertical="top"/>
    </xf>
    <xf numFmtId="10" fontId="93" fillId="20" borderId="0" xfId="0" applyNumberFormat="1" applyFont="1" applyFill="1" applyBorder="1" applyAlignment="1">
      <alignment vertical="top"/>
    </xf>
    <xf numFmtId="0" fontId="93" fillId="39" borderId="0" xfId="0" applyFont="1" applyFill="1" applyBorder="1" applyAlignment="1">
      <alignment horizontal="center" vertical="top"/>
    </xf>
    <xf numFmtId="0" fontId="185" fillId="0" borderId="0" xfId="0" applyFont="1" applyBorder="1" applyAlignment="1">
      <alignment vertical="top"/>
    </xf>
    <xf numFmtId="180" fontId="93" fillId="0" borderId="0" xfId="0" applyNumberFormat="1" applyFont="1" applyBorder="1" applyAlignment="1">
      <alignment vertical="top"/>
    </xf>
    <xf numFmtId="0" fontId="93" fillId="20" borderId="0" xfId="0" applyFont="1" applyFill="1" applyBorder="1" applyAlignment="1">
      <alignment horizontal="center" vertical="top"/>
    </xf>
    <xf numFmtId="0" fontId="93" fillId="38" borderId="0" xfId="0" applyFont="1" applyFill="1" applyBorder="1" applyAlignment="1">
      <alignment horizontal="center" vertical="top"/>
    </xf>
    <xf numFmtId="0" fontId="186" fillId="71" borderId="0" xfId="0" applyFont="1" applyFill="1" applyBorder="1" applyAlignment="1">
      <alignment vertical="top"/>
    </xf>
    <xf numFmtId="0" fontId="111" fillId="32" borderId="0" xfId="0" applyFont="1" applyFill="1" applyBorder="1" applyAlignment="1">
      <alignment vertical="top"/>
    </xf>
    <xf numFmtId="0" fontId="189" fillId="0" borderId="0" xfId="0" applyFont="1" applyBorder="1" applyAlignment="1">
      <alignment vertical="top"/>
    </xf>
    <xf numFmtId="0" fontId="100" fillId="0" borderId="0" xfId="0" applyFont="1" applyBorder="1" applyAlignment="1">
      <alignment vertical="top"/>
    </xf>
    <xf numFmtId="0" fontId="84" fillId="0" borderId="0" xfId="0" applyFont="1" applyBorder="1" applyAlignment="1">
      <alignment vertical="top"/>
    </xf>
    <xf numFmtId="10" fontId="93" fillId="38" borderId="0" xfId="0" applyNumberFormat="1" applyFont="1" applyFill="1" applyBorder="1" applyAlignment="1">
      <alignment vertical="top"/>
    </xf>
    <xf numFmtId="10" fontId="93" fillId="39" borderId="0" xfId="0" applyNumberFormat="1" applyFont="1" applyFill="1" applyBorder="1" applyAlignment="1">
      <alignment vertical="top"/>
    </xf>
    <xf numFmtId="10" fontId="176" fillId="65" borderId="0" xfId="0" applyNumberFormat="1" applyFont="1" applyFill="1" applyBorder="1" applyAlignment="1">
      <alignment vertical="top"/>
    </xf>
    <xf numFmtId="0" fontId="84" fillId="0" borderId="50" xfId="0" applyFont="1" applyBorder="1" applyAlignment="1">
      <alignment vertical="top"/>
    </xf>
    <xf numFmtId="10" fontId="93" fillId="38" borderId="50" xfId="0" applyNumberFormat="1" applyFont="1" applyFill="1" applyBorder="1" applyAlignment="1">
      <alignment vertical="top"/>
    </xf>
    <xf numFmtId="10" fontId="93" fillId="39" borderId="50" xfId="0" applyNumberFormat="1" applyFont="1" applyFill="1" applyBorder="1" applyAlignment="1">
      <alignment vertical="top"/>
    </xf>
    <xf numFmtId="10" fontId="176" fillId="65" borderId="50" xfId="0" applyNumberFormat="1" applyFont="1" applyFill="1" applyBorder="1" applyAlignment="1">
      <alignment vertical="top"/>
    </xf>
    <xf numFmtId="10" fontId="93" fillId="41" borderId="0" xfId="0" applyNumberFormat="1" applyFont="1" applyFill="1" applyBorder="1" applyAlignment="1">
      <alignment vertical="top"/>
    </xf>
    <xf numFmtId="10" fontId="93" fillId="41" borderId="50" xfId="0" applyNumberFormat="1" applyFont="1" applyFill="1" applyBorder="1" applyAlignment="1">
      <alignment vertical="top"/>
    </xf>
    <xf numFmtId="0" fontId="93" fillId="77" borderId="0" xfId="0" applyFont="1" applyFill="1" applyBorder="1" applyAlignment="1">
      <alignment vertical="top"/>
    </xf>
    <xf numFmtId="0" fontId="93" fillId="41" borderId="0" xfId="0" applyFont="1" applyFill="1" applyBorder="1" applyAlignment="1">
      <alignment vertical="top"/>
    </xf>
    <xf numFmtId="0" fontId="84" fillId="39" borderId="0" xfId="0" applyFont="1" applyFill="1" applyBorder="1" applyAlignment="1">
      <alignment vertical="top"/>
    </xf>
    <xf numFmtId="0" fontId="176" fillId="65" borderId="0" xfId="0" applyFont="1" applyFill="1" applyBorder="1" applyAlignment="1">
      <alignment vertical="top"/>
    </xf>
    <xf numFmtId="0" fontId="176" fillId="39" borderId="0" xfId="0" applyFont="1" applyFill="1" applyBorder="1" applyAlignment="1">
      <alignment vertical="top"/>
    </xf>
    <xf numFmtId="0" fontId="190" fillId="52" borderId="51" xfId="0" applyFont="1" applyFill="1" applyBorder="1" applyAlignment="1">
      <alignment vertical="top"/>
    </xf>
    <xf numFmtId="0" fontId="93" fillId="45" borderId="52" xfId="0" applyFont="1" applyFill="1" applyBorder="1" applyAlignment="1">
      <alignment vertical="top"/>
    </xf>
    <xf numFmtId="0" fontId="93" fillId="55" borderId="52" xfId="0" applyFont="1" applyFill="1" applyBorder="1" applyAlignment="1">
      <alignment vertical="top"/>
    </xf>
    <xf numFmtId="0" fontId="190" fillId="52" borderId="53" xfId="0" applyFont="1" applyFill="1" applyBorder="1" applyAlignment="1">
      <alignment vertical="top"/>
    </xf>
    <xf numFmtId="0" fontId="93" fillId="45" borderId="0" xfId="0" applyFont="1" applyFill="1" applyBorder="1" applyAlignment="1">
      <alignment vertical="top"/>
    </xf>
    <xf numFmtId="166" fontId="93" fillId="45" borderId="0" xfId="0" applyNumberFormat="1" applyFont="1" applyFill="1" applyBorder="1" applyAlignment="1">
      <alignment vertical="top"/>
    </xf>
    <xf numFmtId="10" fontId="93" fillId="45" borderId="0" xfId="0" applyNumberFormat="1" applyFont="1" applyFill="1" applyBorder="1" applyAlignment="1">
      <alignment vertical="top"/>
    </xf>
    <xf numFmtId="0" fontId="93" fillId="55" borderId="0" xfId="0" applyFont="1" applyFill="1" applyBorder="1" applyAlignment="1">
      <alignment vertical="top"/>
    </xf>
    <xf numFmtId="166" fontId="93" fillId="55" borderId="0" xfId="0" applyNumberFormat="1" applyFont="1" applyFill="1" applyBorder="1" applyAlignment="1">
      <alignment vertical="top"/>
    </xf>
    <xf numFmtId="10" fontId="93" fillId="55" borderId="0" xfId="0" applyNumberFormat="1" applyFont="1" applyFill="1" applyBorder="1" applyAlignment="1">
      <alignment vertical="top"/>
    </xf>
    <xf numFmtId="0" fontId="190" fillId="52" borderId="54" xfId="0" applyFont="1" applyFill="1" applyBorder="1" applyAlignment="1">
      <alignment vertical="top"/>
    </xf>
    <xf numFmtId="166" fontId="190" fillId="52" borderId="54" xfId="0" applyNumberFormat="1" applyFont="1" applyFill="1" applyBorder="1" applyAlignment="1">
      <alignment vertical="top"/>
    </xf>
    <xf numFmtId="10" fontId="190" fillId="52" borderId="54" xfId="0" applyNumberFormat="1" applyFont="1" applyFill="1" applyBorder="1" applyAlignment="1">
      <alignment vertical="top"/>
    </xf>
    <xf numFmtId="0" fontId="190" fillId="0" borderId="0" xfId="0" applyFont="1" applyBorder="1" applyAlignment="1">
      <alignment vertical="top"/>
    </xf>
    <xf numFmtId="0" fontId="190" fillId="52" borderId="0" xfId="0" applyFont="1" applyFill="1" applyBorder="1" applyAlignment="1">
      <alignment vertical="top"/>
    </xf>
    <xf numFmtId="0" fontId="190" fillId="52" borderId="0" xfId="0" applyFont="1" applyFill="1" applyBorder="1" applyAlignment="1">
      <alignment horizontal="center" vertical="top"/>
    </xf>
    <xf numFmtId="170" fontId="93" fillId="0" borderId="0" xfId="0" applyNumberFormat="1" applyFont="1" applyBorder="1" applyAlignment="1">
      <alignment vertical="top"/>
    </xf>
    <xf numFmtId="170" fontId="193" fillId="0" borderId="0" xfId="0" applyNumberFormat="1" applyFont="1" applyBorder="1" applyAlignment="1">
      <alignment vertical="top"/>
    </xf>
    <xf numFmtId="166" fontId="190" fillId="71" borderId="0" xfId="0" applyNumberFormat="1" applyFont="1" applyFill="1" applyBorder="1" applyAlignment="1">
      <alignment vertical="top"/>
    </xf>
    <xf numFmtId="170" fontId="190" fillId="71" borderId="0" xfId="0" applyNumberFormat="1" applyFont="1" applyFill="1" applyBorder="1" applyAlignment="1">
      <alignment vertical="top"/>
    </xf>
    <xf numFmtId="0" fontId="190" fillId="71" borderId="0" xfId="0" applyFont="1" applyFill="1" applyBorder="1" applyAlignment="1">
      <alignment vertical="top"/>
    </xf>
    <xf numFmtId="0" fontId="190" fillId="55" borderId="0" xfId="0" applyFont="1" applyFill="1" applyBorder="1" applyAlignment="1">
      <alignment vertical="top"/>
    </xf>
    <xf numFmtId="0" fontId="190" fillId="79" borderId="0" xfId="0" applyFont="1" applyFill="1" applyBorder="1" applyAlignment="1">
      <alignment vertical="top"/>
    </xf>
    <xf numFmtId="0" fontId="190" fillId="47" borderId="0" xfId="0" applyFont="1" applyFill="1" applyBorder="1" applyAlignment="1">
      <alignment vertical="top"/>
    </xf>
    <xf numFmtId="0" fontId="190" fillId="46" borderId="0" xfId="0" applyFont="1" applyFill="1" applyBorder="1" applyAlignment="1">
      <alignment vertical="top"/>
    </xf>
    <xf numFmtId="0" fontId="196" fillId="0" borderId="0" xfId="0" applyFont="1" applyBorder="1" applyAlignment="1">
      <alignment vertical="top"/>
    </xf>
    <xf numFmtId="0" fontId="184" fillId="52" borderId="0" xfId="0" applyFont="1" applyFill="1" applyBorder="1" applyAlignment="1">
      <alignment vertical="top"/>
    </xf>
    <xf numFmtId="0" fontId="197" fillId="0" borderId="0" xfId="0" applyFont="1" applyBorder="1" applyAlignment="1">
      <alignment vertical="top"/>
    </xf>
    <xf numFmtId="0" fontId="103" fillId="37" borderId="0" xfId="0" applyFont="1" applyFill="1" applyBorder="1" applyAlignment="1">
      <alignment horizontal="center" vertical="top"/>
    </xf>
    <xf numFmtId="0" fontId="0" fillId="0" borderId="1" xfId="0"/>
    <xf numFmtId="0" fontId="111" fillId="49" borderId="0" xfId="0" applyFont="1" applyFill="1" applyBorder="1" applyAlignment="1">
      <alignment vertical="top"/>
    </xf>
    <xf numFmtId="0" fontId="110" fillId="49" borderId="0" xfId="0" applyFont="1" applyFill="1" applyBorder="1" applyAlignment="1">
      <alignment vertical="top"/>
    </xf>
    <xf numFmtId="0" fontId="112" fillId="49" borderId="0" xfId="0" applyFont="1" applyFill="1" applyBorder="1" applyAlignment="1">
      <alignment vertical="top"/>
    </xf>
    <xf numFmtId="0" fontId="82" fillId="35" borderId="19" xfId="0" applyFont="1" applyFill="1" applyBorder="1" applyAlignment="1">
      <alignment vertical="top"/>
    </xf>
    <xf numFmtId="0" fontId="96" fillId="43" borderId="0" xfId="0" applyFont="1" applyFill="1" applyBorder="1" applyAlignment="1">
      <alignment horizontal="center" vertical="top"/>
    </xf>
    <xf numFmtId="0" fontId="97" fillId="44" borderId="0" xfId="0" applyFont="1" applyFill="1" applyBorder="1" applyAlignment="1">
      <alignment vertical="top"/>
    </xf>
    <xf numFmtId="0" fontId="99" fillId="45" borderId="0" xfId="0" applyFont="1" applyFill="1" applyBorder="1" applyAlignment="1">
      <alignment vertical="top"/>
    </xf>
    <xf numFmtId="0" fontId="99" fillId="46" borderId="0" xfId="0" applyFont="1" applyFill="1" applyBorder="1" applyAlignment="1">
      <alignment vertical="top"/>
    </xf>
    <xf numFmtId="0" fontId="100" fillId="47" borderId="0" xfId="0" applyFont="1" applyFill="1" applyBorder="1" applyAlignment="1">
      <alignment horizontal="left" vertical="top" indent="1"/>
    </xf>
    <xf numFmtId="0" fontId="114" fillId="0" borderId="0" xfId="0" applyFont="1" applyBorder="1" applyAlignment="1">
      <alignment vertical="center"/>
    </xf>
    <xf numFmtId="0" fontId="115" fillId="0" borderId="0" xfId="0" applyFont="1" applyBorder="1" applyAlignment="1">
      <alignment horizontal="center" vertical="center"/>
    </xf>
    <xf numFmtId="0" fontId="91" fillId="37" borderId="0" xfId="0" applyFont="1" applyFill="1" applyBorder="1" applyAlignment="1">
      <alignment horizontal="center" vertical="top"/>
    </xf>
    <xf numFmtId="0" fontId="95" fillId="38" borderId="0" xfId="0" applyFont="1" applyFill="1" applyBorder="1" applyAlignment="1">
      <alignment vertical="top"/>
    </xf>
    <xf numFmtId="0" fontId="84" fillId="0" borderId="0" xfId="0" applyFont="1" applyBorder="1" applyAlignment="1">
      <alignment vertical="center"/>
    </xf>
    <xf numFmtId="0" fontId="88" fillId="0" borderId="0" xfId="0" applyFont="1" applyBorder="1" applyAlignment="1">
      <alignment vertical="center"/>
    </xf>
    <xf numFmtId="0" fontId="113" fillId="35" borderId="0" xfId="0" applyFont="1" applyFill="1" applyBorder="1" applyAlignment="1">
      <alignment vertical="top"/>
    </xf>
    <xf numFmtId="0" fontId="87" fillId="2" borderId="0" xfId="0" applyFont="1" applyFill="1" applyBorder="1" applyAlignment="1">
      <alignment horizontal="left" vertical="center"/>
    </xf>
    <xf numFmtId="0" fontId="88" fillId="38" borderId="0" xfId="0" applyFont="1" applyFill="1" applyBorder="1" applyAlignment="1">
      <alignment vertical="center"/>
    </xf>
    <xf numFmtId="0" fontId="84" fillId="39" borderId="0" xfId="0" applyFont="1" applyFill="1" applyBorder="1" applyAlignment="1">
      <alignment vertical="center"/>
    </xf>
    <xf numFmtId="0" fontId="84" fillId="32" borderId="0" xfId="0" applyFont="1" applyFill="1" applyBorder="1" applyAlignment="1">
      <alignment vertical="center"/>
    </xf>
    <xf numFmtId="0" fontId="82" fillId="0" borderId="0" xfId="0" applyFont="1" applyBorder="1" applyAlignment="1">
      <alignment vertical="top"/>
    </xf>
    <xf numFmtId="0" fontId="77" fillId="2" borderId="0" xfId="0" applyFont="1" applyFill="1" applyBorder="1" applyAlignment="1">
      <alignment horizontal="center" vertical="center"/>
    </xf>
    <xf numFmtId="0" fontId="78" fillId="31" borderId="0" xfId="0" applyFont="1" applyFill="1" applyBorder="1" applyAlignment="1">
      <alignment horizontal="center" vertical="center"/>
    </xf>
    <xf numFmtId="0" fontId="79" fillId="32" borderId="0" xfId="0" applyFont="1" applyFill="1" applyBorder="1" applyAlignment="1">
      <alignment horizontal="center" vertical="center"/>
    </xf>
    <xf numFmtId="0" fontId="81" fillId="33" borderId="0" xfId="0" applyFont="1" applyFill="1" applyBorder="1" applyAlignment="1">
      <alignment vertical="top"/>
    </xf>
    <xf numFmtId="0" fontId="85" fillId="33" borderId="0" xfId="0" applyFont="1" applyFill="1" applyBorder="1" applyAlignment="1">
      <alignment horizontal="center" vertical="top"/>
    </xf>
    <xf numFmtId="0" fontId="82" fillId="35" borderId="0" xfId="0" applyFont="1" applyFill="1" applyBorder="1" applyAlignment="1">
      <alignment vertical="top"/>
    </xf>
    <xf numFmtId="0" fontId="117" fillId="2" borderId="1" xfId="0" applyFont="1" applyFill="1" applyAlignment="1">
      <alignment horizontal="center" vertical="center"/>
    </xf>
    <xf numFmtId="0" fontId="118" fillId="31" borderId="1" xfId="0" applyFont="1" applyFill="1" applyAlignment="1">
      <alignment horizontal="right" vertical="center"/>
    </xf>
    <xf numFmtId="0" fontId="132" fillId="37" borderId="20" xfId="0" applyFont="1" applyFill="1" applyBorder="1" applyAlignment="1">
      <alignment horizontal="center"/>
    </xf>
    <xf numFmtId="0" fontId="0" fillId="0" borderId="21" xfId="0" applyBorder="1"/>
    <xf numFmtId="0" fontId="133" fillId="52" borderId="1" xfId="0" applyFont="1" applyFill="1"/>
    <xf numFmtId="0" fontId="0" fillId="50" borderId="1" xfId="0" applyFill="1"/>
    <xf numFmtId="0" fontId="135" fillId="0" borderId="1" xfId="0" applyFont="1" applyAlignment="1">
      <alignment horizontal="center"/>
    </xf>
    <xf numFmtId="0" fontId="45" fillId="0" borderId="1" xfId="0" applyFont="1"/>
    <xf numFmtId="0" fontId="120" fillId="2" borderId="1" xfId="0" applyFont="1" applyFill="1" applyAlignment="1">
      <alignment horizontal="center"/>
    </xf>
    <xf numFmtId="0" fontId="129" fillId="51" borderId="1" xfId="0" applyFont="1" applyFill="1"/>
    <xf numFmtId="0" fontId="129" fillId="20" borderId="1" xfId="0" applyFont="1" applyFill="1"/>
    <xf numFmtId="0" fontId="132" fillId="37" borderId="24" xfId="0" applyFont="1" applyFill="1" applyBorder="1" applyAlignment="1">
      <alignment horizontal="center"/>
    </xf>
    <xf numFmtId="0" fontId="134" fillId="53" borderId="24" xfId="0" applyFont="1" applyFill="1" applyBorder="1" applyAlignment="1">
      <alignment horizontal="center"/>
    </xf>
    <xf numFmtId="0" fontId="0" fillId="50" borderId="24" xfId="0" applyFill="1" applyBorder="1"/>
    <xf numFmtId="0" fontId="119" fillId="46" borderId="25" xfId="0" applyFont="1" applyFill="1" applyBorder="1"/>
    <xf numFmtId="0" fontId="122" fillId="0" borderId="1" xfId="0" applyFont="1" applyAlignment="1">
      <alignment horizontal="center"/>
    </xf>
    <xf numFmtId="0" fontId="126" fillId="0" borderId="1" xfId="0" applyFont="1"/>
    <xf numFmtId="0" fontId="0" fillId="0" borderId="23" xfId="0" applyBorder="1"/>
    <xf numFmtId="0" fontId="133" fillId="60" borderId="1" xfId="0" applyFont="1" applyFill="1" applyAlignment="1">
      <alignment horizontal="left"/>
    </xf>
    <xf numFmtId="0" fontId="145" fillId="0" borderId="1" xfId="0" applyFont="1"/>
    <xf numFmtId="0" fontId="132" fillId="62" borderId="1" xfId="0" applyFont="1" applyFill="1" applyAlignment="1">
      <alignment horizontal="center"/>
    </xf>
    <xf numFmtId="9" fontId="4" fillId="0" borderId="1" xfId="0" applyNumberFormat="1" applyFont="1"/>
    <xf numFmtId="0" fontId="1" fillId="0" borderId="1" xfId="0" applyFont="1"/>
    <xf numFmtId="0" fontId="147" fillId="0" borderId="1" xfId="0" applyFont="1"/>
    <xf numFmtId="0" fontId="6" fillId="2" borderId="1" xfId="0" applyFont="1" applyFill="1" applyAlignment="1">
      <alignment wrapText="1"/>
    </xf>
    <xf numFmtId="0" fontId="0" fillId="2" borderId="1" xfId="0" applyFill="1"/>
    <xf numFmtId="0" fontId="6" fillId="7" borderId="1" xfId="0" applyFont="1" applyFill="1"/>
    <xf numFmtId="0" fontId="0" fillId="7" borderId="1" xfId="0" applyFill="1"/>
    <xf numFmtId="0" fontId="120" fillId="2" borderId="1" xfId="0" applyFont="1" applyFill="1" applyAlignment="1">
      <alignment horizontal="center" vertical="center"/>
    </xf>
    <xf numFmtId="0" fontId="141" fillId="2" borderId="1" xfId="0" applyFont="1" applyFill="1" applyAlignment="1">
      <alignment horizontal="center"/>
    </xf>
    <xf numFmtId="0" fontId="144" fillId="0" borderId="1" xfId="0" applyFont="1"/>
    <xf numFmtId="0" fontId="132" fillId="2" borderId="1" xfId="0" applyFont="1" applyFill="1" applyAlignment="1">
      <alignment horizontal="center"/>
    </xf>
    <xf numFmtId="0" fontId="148" fillId="0" borderId="1" xfId="0" applyFont="1" applyAlignment="1">
      <alignment horizontal="center"/>
    </xf>
    <xf numFmtId="0" fontId="149" fillId="2" borderId="1" xfId="0" applyFont="1" applyFill="1" applyAlignment="1">
      <alignment horizontal="center"/>
    </xf>
    <xf numFmtId="0" fontId="151" fillId="2" borderId="1" xfId="0" applyFont="1" applyFill="1" applyAlignment="1">
      <alignment horizontal="left"/>
    </xf>
    <xf numFmtId="0" fontId="155" fillId="33" borderId="29" xfId="0" applyFont="1" applyFill="1" applyBorder="1" applyAlignment="1">
      <alignment horizontal="center" vertical="center"/>
    </xf>
    <xf numFmtId="0" fontId="156" fillId="7" borderId="30" xfId="0" applyFont="1" applyFill="1" applyBorder="1"/>
    <xf numFmtId="0" fontId="156" fillId="7" borderId="31" xfId="0" applyFont="1" applyFill="1" applyBorder="1"/>
    <xf numFmtId="0" fontId="157" fillId="66" borderId="33" xfId="0" applyFont="1" applyFill="1" applyBorder="1" applyAlignment="1">
      <alignment horizontal="center"/>
    </xf>
    <xf numFmtId="0" fontId="34" fillId="0" borderId="6" xfId="0" applyFont="1" applyBorder="1"/>
    <xf numFmtId="165" fontId="2" fillId="8" borderId="7" xfId="0" applyNumberFormat="1" applyFont="1" applyFill="1" applyBorder="1" applyAlignment="1">
      <alignment horizontal="center"/>
    </xf>
    <xf numFmtId="165" fontId="158" fillId="8" borderId="34" xfId="0" applyNumberFormat="1" applyFont="1" applyFill="1" applyBorder="1" applyAlignment="1">
      <alignment horizontal="center"/>
    </xf>
    <xf numFmtId="0" fontId="132" fillId="67" borderId="33" xfId="0" applyFont="1" applyFill="1" applyBorder="1" applyAlignment="1">
      <alignment horizontal="center"/>
    </xf>
    <xf numFmtId="0" fontId="156" fillId="0" borderId="37" xfId="0" applyFont="1" applyBorder="1"/>
    <xf numFmtId="0" fontId="132" fillId="68" borderId="33" xfId="0" applyFont="1" applyFill="1" applyBorder="1" applyAlignment="1">
      <alignment horizontal="center"/>
    </xf>
    <xf numFmtId="173" fontId="1" fillId="0" borderId="1" xfId="0" applyNumberFormat="1" applyFont="1"/>
    <xf numFmtId="173" fontId="156" fillId="0" borderId="37" xfId="0" applyNumberFormat="1" applyFont="1" applyBorder="1"/>
    <xf numFmtId="0" fontId="160" fillId="35" borderId="38" xfId="0" applyFont="1" applyFill="1" applyBorder="1" applyAlignment="1">
      <alignment horizontal="left"/>
    </xf>
    <xf numFmtId="0" fontId="156" fillId="0" borderId="39" xfId="0" applyFont="1" applyBorder="1"/>
    <xf numFmtId="0" fontId="156" fillId="0" borderId="40" xfId="0" applyFont="1" applyBorder="1"/>
    <xf numFmtId="0" fontId="121" fillId="55" borderId="32" xfId="0" applyFont="1" applyFill="1" applyBorder="1" applyAlignment="1">
      <alignment horizontal="right"/>
    </xf>
    <xf numFmtId="0" fontId="121" fillId="20" borderId="32" xfId="0" applyFont="1" applyFill="1" applyBorder="1" applyAlignment="1">
      <alignment horizontal="right"/>
    </xf>
    <xf numFmtId="0" fontId="150" fillId="0" borderId="1" xfId="0" applyFont="1"/>
    <xf numFmtId="0" fontId="121" fillId="32" borderId="1" xfId="0" applyFont="1" applyFill="1" applyAlignment="1">
      <alignment horizontal="right"/>
    </xf>
    <xf numFmtId="0" fontId="129" fillId="39" borderId="1" xfId="0" applyFont="1" applyFill="1" applyAlignment="1">
      <alignment vertical="center"/>
    </xf>
    <xf numFmtId="0" fontId="168" fillId="70" borderId="1" xfId="0" applyFont="1" applyFill="1"/>
    <xf numFmtId="0" fontId="129" fillId="73" borderId="1" xfId="0" applyFont="1" applyFill="1" applyAlignment="1">
      <alignment vertical="center"/>
    </xf>
    <xf numFmtId="0" fontId="161" fillId="37" borderId="1" xfId="0" applyFont="1" applyFill="1"/>
    <xf numFmtId="0" fontId="162" fillId="47" borderId="1" xfId="0" applyFont="1" applyFill="1"/>
    <xf numFmtId="0" fontId="141" fillId="67" borderId="1" xfId="0" applyFont="1" applyFill="1"/>
    <xf numFmtId="0" fontId="167" fillId="72" borderId="1" xfId="0" applyFont="1" applyFill="1"/>
    <xf numFmtId="0" fontId="169" fillId="47" borderId="1" xfId="0" applyFont="1" applyFill="1"/>
    <xf numFmtId="0" fontId="128" fillId="2" borderId="1" xfId="0" applyFont="1" applyFill="1" applyAlignment="1">
      <alignment horizontal="left" vertical="center"/>
    </xf>
    <xf numFmtId="0" fontId="171" fillId="72" borderId="1" xfId="0" applyFont="1" applyFill="1" applyAlignment="1">
      <alignment vertical="center"/>
    </xf>
    <xf numFmtId="0" fontId="0" fillId="0" borderId="1" xfId="0" applyAlignment="1">
      <alignment wrapText="1"/>
    </xf>
    <xf numFmtId="0" fontId="23" fillId="10" borderId="1" xfId="0" applyFont="1" applyFill="1" applyAlignment="1">
      <alignment wrapText="1"/>
    </xf>
    <xf numFmtId="0" fontId="21" fillId="0" borderId="1" xfId="0" applyFont="1" applyAlignment="1">
      <alignment wrapText="1"/>
    </xf>
    <xf numFmtId="0" fontId="86" fillId="74" borderId="0" xfId="0" applyFont="1" applyFill="1" applyBorder="1" applyAlignment="1">
      <alignment vertical="top"/>
    </xf>
    <xf numFmtId="0" fontId="85" fillId="2" borderId="0" xfId="0" applyFont="1" applyFill="1" applyBorder="1" applyAlignment="1">
      <alignment vertical="top"/>
    </xf>
    <xf numFmtId="0" fontId="174" fillId="0" borderId="0" xfId="0" applyFont="1" applyBorder="1" applyAlignment="1">
      <alignment vertical="top"/>
    </xf>
    <xf numFmtId="0" fontId="84" fillId="39" borderId="0" xfId="0" applyFont="1" applyFill="1" applyBorder="1" applyAlignment="1">
      <alignment vertical="top"/>
    </xf>
    <xf numFmtId="0" fontId="85" fillId="43" borderId="42" xfId="0" applyFont="1" applyFill="1" applyBorder="1" applyAlignment="1">
      <alignment horizontal="center" vertical="center"/>
    </xf>
    <xf numFmtId="0" fontId="93" fillId="0" borderId="43" xfId="0" applyFont="1" applyBorder="1" applyAlignment="1">
      <alignment vertical="top"/>
    </xf>
    <xf numFmtId="0" fontId="93" fillId="0" borderId="44" xfId="0" applyFont="1" applyBorder="1" applyAlignment="1">
      <alignment vertical="top"/>
    </xf>
    <xf numFmtId="0" fontId="180" fillId="44" borderId="45" xfId="0" applyFont="1" applyFill="1" applyBorder="1" applyAlignment="1">
      <alignment horizontal="left" vertical="center" indent="1"/>
    </xf>
    <xf numFmtId="0" fontId="93" fillId="0" borderId="46" xfId="0" applyFont="1" applyBorder="1" applyAlignment="1">
      <alignment vertical="top"/>
    </xf>
    <xf numFmtId="0" fontId="182" fillId="72" borderId="45" xfId="0" applyFont="1" applyFill="1" applyBorder="1" applyAlignment="1">
      <alignment horizontal="left" vertical="top" indent="1"/>
    </xf>
    <xf numFmtId="0" fontId="183" fillId="71" borderId="45" xfId="0" applyFont="1" applyFill="1" applyBorder="1" applyAlignment="1">
      <alignment horizontal="left" vertical="top" indent="1"/>
    </xf>
    <xf numFmtId="0" fontId="182" fillId="72" borderId="47" xfId="0" applyFont="1" applyFill="1" applyBorder="1" applyAlignment="1">
      <alignment horizontal="left" vertical="top" indent="1"/>
    </xf>
    <xf numFmtId="0" fontId="93" fillId="0" borderId="48" xfId="0" applyFont="1" applyBorder="1" applyAlignment="1">
      <alignment vertical="top"/>
    </xf>
    <xf numFmtId="0" fontId="93" fillId="0" borderId="49" xfId="0" applyFont="1" applyBorder="1" applyAlignment="1">
      <alignment vertical="top"/>
    </xf>
    <xf numFmtId="0" fontId="187" fillId="0" borderId="0" xfId="0" applyFont="1" applyBorder="1" applyAlignment="1">
      <alignment vertical="top"/>
    </xf>
    <xf numFmtId="0" fontId="93" fillId="39" borderId="0" xfId="0" applyFont="1" applyFill="1" applyBorder="1" applyAlignment="1">
      <alignment horizontal="center" vertical="top"/>
    </xf>
    <xf numFmtId="0" fontId="188" fillId="0" borderId="0" xfId="0" applyFont="1" applyBorder="1" applyAlignment="1">
      <alignment vertical="top"/>
    </xf>
    <xf numFmtId="0" fontId="93" fillId="20" borderId="0" xfId="0" applyFont="1" applyFill="1" applyBorder="1" applyAlignment="1">
      <alignment horizontal="center" vertical="top"/>
    </xf>
    <xf numFmtId="0" fontId="84" fillId="32" borderId="0" xfId="0" applyFont="1" applyFill="1" applyBorder="1" applyAlignment="1">
      <alignment vertical="top"/>
    </xf>
    <xf numFmtId="0" fontId="179" fillId="2" borderId="0" xfId="0" applyFont="1" applyFill="1" applyBorder="1" applyAlignment="1">
      <alignment vertical="top"/>
    </xf>
    <xf numFmtId="0" fontId="189" fillId="39" borderId="0" xfId="0" applyFont="1" applyFill="1" applyBorder="1" applyAlignment="1">
      <alignment horizontal="center" vertical="top"/>
    </xf>
    <xf numFmtId="0" fontId="177" fillId="2" borderId="0" xfId="0" applyFont="1" applyFill="1" applyBorder="1" applyAlignment="1">
      <alignment horizontal="center" vertical="top"/>
    </xf>
    <xf numFmtId="0" fontId="178" fillId="31" borderId="0" xfId="0" applyFont="1" applyFill="1" applyBorder="1" applyAlignment="1">
      <alignment horizontal="center" vertical="top"/>
    </xf>
    <xf numFmtId="0" fontId="93" fillId="55" borderId="0" xfId="0" applyFont="1" applyFill="1" applyBorder="1" applyAlignment="1">
      <alignment vertical="top"/>
    </xf>
    <xf numFmtId="0" fontId="93" fillId="45" borderId="0" xfId="0" applyFont="1" applyFill="1" applyBorder="1" applyAlignment="1">
      <alignment vertical="top"/>
    </xf>
    <xf numFmtId="0" fontId="93" fillId="47" borderId="0" xfId="0" applyFont="1" applyFill="1" applyBorder="1" applyAlignment="1">
      <alignment vertical="top"/>
    </xf>
    <xf numFmtId="0" fontId="191" fillId="78" borderId="0" xfId="0" applyFont="1" applyFill="1" applyBorder="1" applyAlignment="1">
      <alignment horizontal="center" vertical="top"/>
    </xf>
    <xf numFmtId="0" fontId="93" fillId="46" borderId="0" xfId="0" applyFont="1" applyFill="1" applyBorder="1" applyAlignment="1">
      <alignment vertical="top"/>
    </xf>
    <xf numFmtId="0" fontId="81" fillId="80" borderId="0" xfId="0" applyFont="1" applyFill="1" applyBorder="1" applyAlignment="1">
      <alignment horizontal="center" vertical="top"/>
    </xf>
    <xf numFmtId="0" fontId="194" fillId="71" borderId="0" xfId="0" applyFont="1" applyFill="1" applyBorder="1" applyAlignment="1">
      <alignment vertical="top"/>
    </xf>
    <xf numFmtId="0" fontId="190" fillId="47" borderId="0" xfId="0" applyFont="1" applyFill="1" applyBorder="1" applyAlignment="1">
      <alignment vertical="top"/>
    </xf>
    <xf numFmtId="0" fontId="191" fillId="81" borderId="0" xfId="0" applyFont="1" applyFill="1" applyBorder="1" applyAlignment="1">
      <alignment horizontal="center" vertical="top"/>
    </xf>
    <xf numFmtId="0" fontId="93" fillId="79" borderId="0" xfId="0" applyFont="1" applyFill="1" applyBorder="1" applyAlignment="1">
      <alignment vertical="top"/>
    </xf>
    <xf numFmtId="0" fontId="191" fillId="80" borderId="0" xfId="0" applyFont="1" applyFill="1" applyBorder="1" applyAlignment="1">
      <alignment horizontal="center" vertical="top"/>
    </xf>
    <xf numFmtId="0" fontId="93" fillId="71" borderId="0" xfId="0" applyFont="1" applyFill="1" applyBorder="1" applyAlignment="1">
      <alignment vertical="top"/>
    </xf>
    <xf numFmtId="0" fontId="192" fillId="0" borderId="0" xfId="0" applyFont="1" applyBorder="1" applyAlignment="1">
      <alignment vertical="top"/>
    </xf>
    <xf numFmtId="0" fontId="85" fillId="37" borderId="0" xfId="0" applyFont="1" applyFill="1" applyBorder="1" applyAlignment="1">
      <alignment vertical="top"/>
    </xf>
    <xf numFmtId="0" fontId="116" fillId="0" borderId="0" xfId="0" applyFont="1" applyBorder="1" applyAlignment="1">
      <alignment vertical="top"/>
    </xf>
    <xf numFmtId="0" fontId="81" fillId="37" borderId="0" xfId="0" applyFont="1" applyFill="1" applyBorder="1" applyAlignment="1">
      <alignment horizontal="center" vertical="top"/>
    </xf>
    <xf numFmtId="0" fontId="103" fillId="48" borderId="0" xfId="0" applyFont="1" applyFill="1" applyBorder="1" applyAlignment="1">
      <alignment vertical="top"/>
    </xf>
    <xf numFmtId="0" fontId="197" fillId="0" borderId="0" xfId="0" applyFont="1" applyBorder="1" applyAlignment="1">
      <alignment vertical="top"/>
    </xf>
    <xf numFmtId="0" fontId="195" fillId="37" borderId="0" xfId="0" applyFont="1" applyFill="1" applyBorder="1" applyAlignment="1">
      <alignment horizontal="center" vertical="top"/>
    </xf>
    <xf numFmtId="0" fontId="99" fillId="0" borderId="0" xfId="0" applyFont="1" applyBorder="1" applyAlignment="1">
      <alignment horizontal="center" vertical="top"/>
    </xf>
  </cellXfs>
  <cellStyles count="1">
    <cellStyle name="Normal" xfId="0" builtinId="0"/>
  </cellStyles>
  <dxfs count="25"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2EFDA"/>
          <bgColor rgb="FFE2EFDA"/>
        </patternFill>
      </fill>
    </dxf>
    <dxf>
      <font>
        <b/>
        <i val="0"/>
        <color rgb="FFC0392B"/>
      </font>
      <fill>
        <patternFill patternType="solid">
          <fgColor rgb="FFF2DCDB"/>
          <bgColor rgb="FFF2DCDB"/>
        </patternFill>
      </fill>
    </dxf>
    <dxf>
      <font>
        <b/>
        <i val="0"/>
        <color rgb="FF008000"/>
      </font>
    </dxf>
    <dxf>
      <font>
        <b/>
        <i val="0"/>
        <color rgb="FFC0392B"/>
      </font>
      <fill>
        <patternFill patternType="solid">
          <fgColor rgb="FFF2DCDB"/>
          <bgColor rgb="FFF2DCDB"/>
        </patternFill>
      </fill>
    </dxf>
    <dxf>
      <font>
        <b/>
        <i val="0"/>
        <color rgb="FFFF8C00"/>
      </font>
    </dxf>
    <dxf>
      <font>
        <b/>
        <i val="0"/>
        <color rgb="FF008000"/>
      </font>
    </dxf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8F5E9"/>
          <bgColor rgb="FFE8F5E9"/>
        </patternFill>
      </fill>
    </dxf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8F5E9"/>
          <bgColor rgb="FFE8F5E9"/>
        </patternFill>
      </fill>
    </dxf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8F5E9"/>
          <bgColor rgb="FFE8F5E9"/>
        </patternFill>
      </fill>
    </dxf>
    <dxf>
      <font>
        <b/>
        <i val="0"/>
        <color rgb="FFC0392B"/>
      </font>
    </dxf>
    <dxf>
      <font>
        <b/>
        <i val="0"/>
        <color rgb="FF008000"/>
      </font>
    </dxf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8F5E9"/>
          <bgColor rgb="FFE8F5E9"/>
        </patternFill>
      </fill>
    </dxf>
    <dxf>
      <font>
        <b/>
        <i val="0"/>
        <color rgb="FFC0392B"/>
      </font>
    </dxf>
    <dxf>
      <font>
        <b/>
        <i val="0"/>
        <color rgb="FF008000"/>
      </font>
    </dxf>
    <dxf>
      <font>
        <b/>
        <i val="0"/>
        <color rgb="FFFF8C00"/>
      </font>
    </dxf>
    <dxf>
      <font>
        <b/>
        <i val="0"/>
        <color rgb="FF008000"/>
      </font>
    </dxf>
    <dxf>
      <font>
        <color rgb="FFC0392B"/>
      </font>
      <fill>
        <patternFill patternType="solid">
          <fgColor rgb="FFF2DCDB"/>
          <bgColor rgb="FFF2DCDB"/>
        </patternFill>
      </fill>
    </dxf>
    <dxf>
      <font>
        <color rgb="FF008000"/>
      </font>
      <fill>
        <patternFill patternType="solid">
          <fgColor rgb="FFE2EFDA"/>
          <bgColor rgb="FFE2EFDA"/>
        </patternFill>
      </fill>
    </dxf>
    <dxf>
      <font>
        <b/>
        <i val="0"/>
        <color rgb="FFC0392B"/>
      </font>
      <fill>
        <patternFill patternType="solid">
          <fgColor rgb="FFF2DCDB"/>
          <bgColor rgb="FFF2DCDB"/>
        </patternFill>
      </fill>
    </dxf>
    <dxf>
      <font>
        <b/>
        <i val="0"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050" b="1" i="0" u="none" strike="noStrike">
                <a:solidFill>
                  <a:srgbClr val="333333"/>
                </a:solidFill>
                <a:latin typeface="Arial"/>
              </a:defRPr>
            </a:pPr>
            <a:r>
              <a:rPr lang="en-US" sz="1050" b="1" i="0" u="none" strike="noStrike">
                <a:solidFill>
                  <a:srgbClr val="333333"/>
                </a:solidFill>
                <a:latin typeface="Arial"/>
              </a:rPr>
              <a:t>Chart 10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_ChartData!$A$2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</c:spPr>
          <c:invertIfNegative val="0"/>
          <c:cat>
            <c:strRef>
              <c:f>_ChartData!$B$1:$K$1</c:f>
              <c:strCache>
                <c:ptCount val="10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  <c:pt idx="5">
                  <c:v>Yr 6</c:v>
                </c:pt>
                <c:pt idx="6">
                  <c:v>Yr 7</c:v>
                </c:pt>
                <c:pt idx="7">
                  <c:v>Yr 8</c:v>
                </c:pt>
                <c:pt idx="8">
                  <c:v>Yr 9</c:v>
                </c:pt>
                <c:pt idx="9">
                  <c:v>Yr 10</c:v>
                </c:pt>
              </c:strCache>
            </c:strRef>
          </c:cat>
          <c:val>
            <c:numRef>
              <c:f>_ChartData!$B$2:$K$2</c:f>
              <c:numCache>
                <c:formatCode>General</c:formatCode>
                <c:ptCount val="10"/>
                <c:pt idx="0">
                  <c:v>7.33</c:v>
                </c:pt>
                <c:pt idx="1">
                  <c:v>8.73</c:v>
                </c:pt>
                <c:pt idx="2">
                  <c:v>10.02</c:v>
                </c:pt>
                <c:pt idx="3">
                  <c:v>12.64</c:v>
                </c:pt>
                <c:pt idx="4">
                  <c:v>15.17</c:v>
                </c:pt>
                <c:pt idx="5">
                  <c:v>15.93</c:v>
                </c:pt>
                <c:pt idx="6">
                  <c:v>16.73</c:v>
                </c:pt>
                <c:pt idx="7">
                  <c:v>17.57</c:v>
                </c:pt>
                <c:pt idx="8">
                  <c:v>18.440000000000001</c:v>
                </c:pt>
                <c:pt idx="9">
                  <c:v>19.37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C-204F-9C41-AD710FD9844F}"/>
            </c:ext>
          </c:extLst>
        </c:ser>
        <c:ser>
          <c:idx val="1"/>
          <c:order val="1"/>
          <c:tx>
            <c:strRef>
              <c:f>_ChartData!$A$3</c:f>
              <c:strCache>
                <c:ptCount val="1"/>
                <c:pt idx="0">
                  <c:v>EBITDA (₹ Cr)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 vertOverflow="ellipsis" vert="horz" wrap="square" lIns="38100" tIns="19050" rIns="38100" bIns="19050" anchor="ctr" anchorCtr="1"/>
              <a:lstStyle/>
              <a:p>
                <a:pPr>
                  <a:defRPr sz="7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_ChartData!$B$1:$K$1</c:f>
              <c:strCache>
                <c:ptCount val="10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  <c:pt idx="5">
                  <c:v>Yr 6</c:v>
                </c:pt>
                <c:pt idx="6">
                  <c:v>Yr 7</c:v>
                </c:pt>
                <c:pt idx="7">
                  <c:v>Yr 8</c:v>
                </c:pt>
                <c:pt idx="8">
                  <c:v>Yr 9</c:v>
                </c:pt>
                <c:pt idx="9">
                  <c:v>Yr 10</c:v>
                </c:pt>
              </c:strCache>
            </c:strRef>
          </c:cat>
          <c:val>
            <c:numRef>
              <c:f>_ChartData!$B$3:$K$3</c:f>
              <c:numCache>
                <c:formatCode>General</c:formatCode>
                <c:ptCount val="10"/>
                <c:pt idx="0">
                  <c:v>2.93</c:v>
                </c:pt>
                <c:pt idx="1">
                  <c:v>3.53</c:v>
                </c:pt>
                <c:pt idx="2">
                  <c:v>4.05</c:v>
                </c:pt>
                <c:pt idx="3">
                  <c:v>5.1100000000000003</c:v>
                </c:pt>
                <c:pt idx="4">
                  <c:v>6.07</c:v>
                </c:pt>
                <c:pt idx="5">
                  <c:v>6.44</c:v>
                </c:pt>
                <c:pt idx="6">
                  <c:v>6.88</c:v>
                </c:pt>
                <c:pt idx="7">
                  <c:v>7.22</c:v>
                </c:pt>
                <c:pt idx="8">
                  <c:v>7.68</c:v>
                </c:pt>
                <c:pt idx="9">
                  <c:v>8.2100000000000009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3C-204F-9C41-AD710FD98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601056"/>
        <c:axId val="88555054"/>
      </c:barChart>
      <c:catAx>
        <c:axId val="2160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8555054"/>
        <c:crosses val="autoZero"/>
        <c:auto val="1"/>
        <c:lblAlgn val="ctr"/>
        <c:lblOffset val="100"/>
        <c:tickMarkSkip val="1"/>
        <c:noMultiLvlLbl val="1"/>
      </c:catAx>
      <c:valAx>
        <c:axId val="88555054"/>
        <c:scaling>
          <c:orientation val="minMax"/>
          <c:min val="0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160105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050" b="1" i="0" u="none" strike="noStrike">
                <a:solidFill>
                  <a:srgbClr val="333333"/>
                </a:solidFill>
                <a:latin typeface="Arial"/>
              </a:defRPr>
            </a:pPr>
            <a:r>
              <a:rPr lang="en-US" sz="1050" b="1" i="0" u="none" strike="noStrike">
                <a:solidFill>
                  <a:srgbClr val="333333"/>
                </a:solidFill>
                <a:latin typeface="Arial"/>
              </a:rPr>
              <a:t>Chart 11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_ChartData!$B$5</c:f>
              <c:strCache>
                <c:ptCount val="1"/>
                <c:pt idx="0">
                  <c:v>10-Year IRR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</c:spPr>
            <c:txPr>
              <a:bodyPr vertOverflow="ellipsis" vert="horz" wrap="square" lIns="38100" tIns="19050" rIns="38100" bIns="19050" anchor="ctr" anchorCtr="1"/>
              <a:lstStyle/>
              <a:p>
                <a:pPr>
                  <a:defRPr sz="1000" b="1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_ChartData!$A$6:$A$8</c:f>
              <c:strCache>
                <c:ptCount val="3"/>
                <c:pt idx="0">
                  <c:v>Bear (20%)</c:v>
                </c:pt>
                <c:pt idx="1">
                  <c:v>Base (60%)</c:v>
                </c:pt>
                <c:pt idx="2">
                  <c:v>Bull (20%)</c:v>
                </c:pt>
              </c:strCache>
            </c:strRef>
          </c:cat>
          <c:val>
            <c:numRef>
              <c:f>_ChartData!$B$6:$B$8</c:f>
              <c:numCache>
                <c:formatCode>General</c:formatCode>
                <c:ptCount val="3"/>
                <c:pt idx="0">
                  <c:v>0.14299999999999999</c:v>
                </c:pt>
                <c:pt idx="1">
                  <c:v>0.17799999999999999</c:v>
                </c:pt>
                <c:pt idx="2">
                  <c:v>0.22900000000000001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6-2441-86FB-525DEA9D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24346"/>
        <c:axId val="92809950"/>
      </c:barChart>
      <c:catAx>
        <c:axId val="659243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2809950"/>
        <c:crosses val="autoZero"/>
        <c:auto val="1"/>
        <c:lblAlgn val="ctr"/>
        <c:lblOffset val="100"/>
        <c:tickMarkSkip val="1"/>
        <c:noMultiLvlLbl val="1"/>
      </c:catAx>
      <c:valAx>
        <c:axId val="92809950"/>
        <c:scaling>
          <c:orientation val="minMax"/>
          <c:max val="0.25"/>
          <c:min val="0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6592434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050" b="1" i="0" u="none" strike="noStrike">
                <a:solidFill>
                  <a:srgbClr val="333333"/>
                </a:solidFill>
                <a:latin typeface="Arial"/>
              </a:defRPr>
            </a:pPr>
            <a:r>
              <a:rPr lang="en-US" sz="1050" b="1" i="0" u="none" strike="noStrike">
                <a:solidFill>
                  <a:srgbClr val="333333"/>
                </a:solidFill>
                <a:latin typeface="Arial"/>
              </a:rPr>
              <a:t>Chart 12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_ChartData!$B$10</c:f>
              <c:strCache>
                <c:ptCount val="1"/>
                <c:pt idx="0">
                  <c:v>10-Year IRR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</c:spPr>
          <c:invertIfNegative val="0"/>
          <c:dLbls>
            <c:numFmt formatCode="0.0%" sourceLinked="0"/>
            <c:spPr>
              <a:noFill/>
              <a:ln>
                <a:noFill/>
              </a:ln>
            </c:spPr>
            <c:txPr>
              <a:bodyPr vertOverflow="ellipsis" vert="horz" wrap="square" lIns="38100" tIns="19050" rIns="38100" bIns="19050" anchor="ctr" anchorCtr="1"/>
              <a:lstStyle/>
              <a:p>
                <a:pPr>
                  <a:defRPr sz="900" b="1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_ChartData!$A$11:$A$15</c:f>
              <c:strCache>
                <c:ptCount val="5"/>
                <c:pt idx="0">
                  <c:v>Independent ✓</c:v>
                </c:pt>
                <c:pt idx="1">
                  <c:v>IHG Franchise</c:v>
                </c:pt>
                <c:pt idx="2">
                  <c:v>Lemon Tree</c:v>
                </c:pt>
                <c:pt idx="3">
                  <c:v>IHCL Taj ⚠</c:v>
                </c:pt>
                <c:pt idx="4">
                  <c:v>Marriott ⚠</c:v>
                </c:pt>
              </c:strCache>
            </c:strRef>
          </c:cat>
          <c:val>
            <c:numRef>
              <c:f>_ChartData!$B$11:$B$15</c:f>
              <c:numCache>
                <c:formatCode>General</c:formatCode>
                <c:ptCount val="5"/>
                <c:pt idx="0">
                  <c:v>0.157</c:v>
                </c:pt>
                <c:pt idx="1">
                  <c:v>0.13400000000000001</c:v>
                </c:pt>
                <c:pt idx="2">
                  <c:v>0.11899999999999999</c:v>
                </c:pt>
                <c:pt idx="3">
                  <c:v>0.108</c:v>
                </c:pt>
                <c:pt idx="4">
                  <c:v>8.7999999999999995E-2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1-4244-A1C3-12E9691FB382}"/>
            </c:ext>
          </c:extLst>
        </c:ser>
        <c:ser>
          <c:idx val="1"/>
          <c:order val="1"/>
          <c:tx>
            <c:strRef>
              <c:f>_ChartData!$C$10</c:f>
              <c:strCache>
                <c:ptCount val="1"/>
                <c:pt idx="0">
                  <c:v>12% Hurdle</c:v>
                </c:pt>
              </c:strCache>
            </c:strRef>
          </c:tx>
          <c:spPr>
            <a:solidFill>
              <a:srgbClr val="C0392B"/>
            </a:solidFill>
            <a:ln>
              <a:noFill/>
            </a:ln>
          </c:spPr>
          <c:invertIfNegative val="0"/>
          <c:cat>
            <c:strRef>
              <c:f>_ChartData!$A$11:$A$15</c:f>
              <c:strCache>
                <c:ptCount val="5"/>
                <c:pt idx="0">
                  <c:v>Independent ✓</c:v>
                </c:pt>
                <c:pt idx="1">
                  <c:v>IHG Franchise</c:v>
                </c:pt>
                <c:pt idx="2">
                  <c:v>Lemon Tree</c:v>
                </c:pt>
                <c:pt idx="3">
                  <c:v>IHCL Taj ⚠</c:v>
                </c:pt>
                <c:pt idx="4">
                  <c:v>Marriott ⚠</c:v>
                </c:pt>
              </c:strCache>
            </c:strRef>
          </c:cat>
          <c:val>
            <c:numRef>
              <c:f>_ChartData!$C$11:$C$15</c:f>
              <c:numCache>
                <c:formatCode>General</c:formatCode>
                <c:ptCount val="5"/>
                <c:pt idx="0">
                  <c:v>0.12</c:v>
                </c:pt>
                <c:pt idx="1">
                  <c:v>0.12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1-4244-A1C3-12E9691FB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2823"/>
        <c:axId val="99790003"/>
      </c:barChart>
      <c:catAx>
        <c:axId val="21122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99790003"/>
        <c:crosses val="autoZero"/>
        <c:auto val="1"/>
        <c:lblAlgn val="ctr"/>
        <c:lblOffset val="100"/>
        <c:tickMarkSkip val="1"/>
        <c:noMultiLvlLbl val="1"/>
      </c:catAx>
      <c:valAx>
        <c:axId val="99790003"/>
        <c:scaling>
          <c:orientation val="minMax"/>
          <c:max val="0.2"/>
          <c:min val="0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1122823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8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050" b="0" i="0" u="none" strike="noStrike">
                <a:solidFill>
                  <a:srgbClr val="333333"/>
                </a:solidFill>
                <a:latin typeface="Arial"/>
              </a:defRPr>
            </a:pPr>
            <a:r>
              <a:rPr sz="1050" b="0" i="0" u="none" strike="noStrike">
                <a:solidFill>
                  <a:srgbClr val="333333"/>
                </a:solidFill>
                <a:latin typeface="Arial"/>
              </a:rPr>
              <a:t>Chart 1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'12. Operating Model Decision'!$C$122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'12. Operating Model Decision'!$B$123:$B$126</c:f>
              <c:numCache>
                <c:formatCode>General</c:formatCode>
                <c:ptCount val="2"/>
              </c:numCache>
            </c:numRef>
          </c:cat>
          <c:val>
            <c:numRef>
              <c:f>'12. Operating Model Decision'!$C$123:$C$126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FA01-E445-A8CF-745EDDB36164}"/>
            </c:ext>
          </c:extLst>
        </c:ser>
        <c:ser>
          <c:idx val="1"/>
          <c:order val="1"/>
          <c:tx>
            <c:strRef>
              <c:f>'12. Operating Model Decision'!$D$122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numRef>
              <c:f>'12. Operating Model Decision'!$B$123:$B$126</c:f>
              <c:numCache>
                <c:formatCode>General</c:formatCode>
                <c:ptCount val="2"/>
              </c:numCache>
            </c:numRef>
          </c:cat>
          <c:val>
            <c:numRef>
              <c:f>'12. Operating Model Decision'!$D$123:$D$126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FA01-E445-A8CF-745EDDB36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27546"/>
        <c:axId val="18601205"/>
      </c:barChart>
      <c:catAx>
        <c:axId val="668275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18601205"/>
        <c:crosses val="autoZero"/>
        <c:auto val="1"/>
        <c:lblAlgn val="ctr"/>
        <c:lblOffset val="100"/>
        <c:tickMarkSkip val="1"/>
        <c:noMultiLvlLbl val="1"/>
      </c:catAx>
      <c:valAx>
        <c:axId val="18601205"/>
        <c:scaling>
          <c:orientation val="minMax"/>
        </c:scaling>
        <c:delete val="0"/>
        <c:axPos val="b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66827546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en-US" sz="1050" b="0">
                <a:solidFill>
                  <a:srgbClr val="333333"/>
                </a:solidFill>
                <a:latin typeface="Arial"/>
              </a:rPr>
              <a:t>CapitalStructureChart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'14. Capital Structure Analysis'!$C$124</c:f>
              <c:strCache>
                <c:ptCount val="1"/>
                <c:pt idx="0">
                  <c:v>40% Debt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'14. Capital Structure Analysis'!$B$125:$B$131</c:f>
              <c:strCache>
                <c:ptCount val="7"/>
                <c:pt idx="0">
                  <c:v>IRR (%)</c:v>
                </c:pt>
                <c:pt idx="1">
                  <c:v>NPV (₹ Cr)</c:v>
                </c:pt>
                <c:pt idx="2">
                  <c:v>Return Multiple (x)</c:v>
                </c:pt>
                <c:pt idx="3">
                  <c:v>Debt Service Coverage (x)</c:v>
                </c:pt>
                <c:pt idx="4">
                  <c:v>Total Interest (₹ Cr)</c:v>
                </c:pt>
                <c:pt idx="5">
                  <c:v>Equity Required (₹ Cr)</c:v>
                </c:pt>
                <c:pt idx="6">
                  <c:v>Break-Even Occupancy (%)</c:v>
                </c:pt>
              </c:strCache>
            </c:strRef>
          </c:cat>
          <c:val>
            <c:numRef>
              <c:f>'14. Capital Structure Analysis'!$C$125:$C$131</c:f>
              <c:numCache>
                <c:formatCode>#,##0.0</c:formatCode>
                <c:ptCount val="7"/>
                <c:pt idx="0">
                  <c:v>20.9</c:v>
                </c:pt>
                <c:pt idx="1">
                  <c:v>18.3</c:v>
                </c:pt>
                <c:pt idx="2">
                  <c:v>2.71</c:v>
                </c:pt>
                <c:pt idx="3">
                  <c:v>2.1</c:v>
                </c:pt>
                <c:pt idx="4">
                  <c:v>14.5</c:v>
                </c:pt>
                <c:pt idx="5">
                  <c:v>25.8</c:v>
                </c:pt>
                <c:pt idx="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5-414A-A4C4-DD3548DBE7F3}"/>
            </c:ext>
          </c:extLst>
        </c:ser>
        <c:ser>
          <c:idx val="1"/>
          <c:order val="1"/>
          <c:tx>
            <c:strRef>
              <c:f>'14. Capital Structure Analysis'!$D$124</c:f>
              <c:strCache>
                <c:ptCount val="1"/>
                <c:pt idx="0">
                  <c:v>30% Debt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'14. Capital Structure Analysis'!$B$125:$B$131</c:f>
              <c:strCache>
                <c:ptCount val="7"/>
                <c:pt idx="0">
                  <c:v>IRR (%)</c:v>
                </c:pt>
                <c:pt idx="1">
                  <c:v>NPV (₹ Cr)</c:v>
                </c:pt>
                <c:pt idx="2">
                  <c:v>Return Multiple (x)</c:v>
                </c:pt>
                <c:pt idx="3">
                  <c:v>Debt Service Coverage (x)</c:v>
                </c:pt>
                <c:pt idx="4">
                  <c:v>Total Interest (₹ Cr)</c:v>
                </c:pt>
                <c:pt idx="5">
                  <c:v>Equity Required (₹ Cr)</c:v>
                </c:pt>
                <c:pt idx="6">
                  <c:v>Break-Even Occupancy (%)</c:v>
                </c:pt>
              </c:strCache>
            </c:strRef>
          </c:cat>
          <c:val>
            <c:numRef>
              <c:f>'14. Capital Structure Analysis'!$D$125:$D$131</c:f>
              <c:numCache>
                <c:formatCode>#,##0.0</c:formatCode>
                <c:ptCount val="7"/>
                <c:pt idx="0">
                  <c:v>20.100000000000001</c:v>
                </c:pt>
                <c:pt idx="1">
                  <c:v>17.899999999999999</c:v>
                </c:pt>
                <c:pt idx="2">
                  <c:v>2.59</c:v>
                </c:pt>
                <c:pt idx="3">
                  <c:v>2.8</c:v>
                </c:pt>
                <c:pt idx="4">
                  <c:v>10.9</c:v>
                </c:pt>
                <c:pt idx="5">
                  <c:v>30.1</c:v>
                </c:pt>
                <c:pt idx="6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5-414A-A4C4-DD3548DBE7F3}"/>
            </c:ext>
          </c:extLst>
        </c:ser>
        <c:ser>
          <c:idx val="2"/>
          <c:order val="2"/>
          <c:tx>
            <c:strRef>
              <c:f>'14. Capital Structure Analysis'!$E$124</c:f>
              <c:strCache>
                <c:ptCount val="1"/>
                <c:pt idx="0">
                  <c:v>20% Debt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cat>
            <c:strRef>
              <c:f>'14. Capital Structure Analysis'!$B$125:$B$131</c:f>
              <c:strCache>
                <c:ptCount val="7"/>
                <c:pt idx="0">
                  <c:v>IRR (%)</c:v>
                </c:pt>
                <c:pt idx="1">
                  <c:v>NPV (₹ Cr)</c:v>
                </c:pt>
                <c:pt idx="2">
                  <c:v>Return Multiple (x)</c:v>
                </c:pt>
                <c:pt idx="3">
                  <c:v>Debt Service Coverage (x)</c:v>
                </c:pt>
                <c:pt idx="4">
                  <c:v>Total Interest (₹ Cr)</c:v>
                </c:pt>
                <c:pt idx="5">
                  <c:v>Equity Required (₹ Cr)</c:v>
                </c:pt>
                <c:pt idx="6">
                  <c:v>Break-Even Occupancy (%)</c:v>
                </c:pt>
              </c:strCache>
            </c:strRef>
          </c:cat>
          <c:val>
            <c:numRef>
              <c:f>'14. Capital Structure Analysis'!$E$125:$E$131</c:f>
              <c:numCache>
                <c:formatCode>#,##0.0</c:formatCode>
                <c:ptCount val="7"/>
                <c:pt idx="0">
                  <c:v>19.399999999999999</c:v>
                </c:pt>
                <c:pt idx="1">
                  <c:v>17.5</c:v>
                </c:pt>
                <c:pt idx="2">
                  <c:v>2.48</c:v>
                </c:pt>
                <c:pt idx="3">
                  <c:v>4.2</c:v>
                </c:pt>
                <c:pt idx="4">
                  <c:v>7.2</c:v>
                </c:pt>
                <c:pt idx="5">
                  <c:v>34.4</c:v>
                </c:pt>
                <c:pt idx="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5-414A-A4C4-DD3548DBE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2452805"/>
        <c:axId val="24233479"/>
      </c:barChart>
      <c:catAx>
        <c:axId val="82452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24233479"/>
        <c:crosses val="autoZero"/>
        <c:auto val="1"/>
        <c:lblAlgn val="ctr"/>
        <c:lblOffset val="0"/>
        <c:tickMarkSkip val="1"/>
        <c:noMultiLvlLbl val="1"/>
      </c:catAx>
      <c:valAx>
        <c:axId val="24233479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245280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81</xdr:row>
      <xdr:rowOff>63500</xdr:rowOff>
    </xdr:from>
    <xdr:to>
      <xdr:col>3</xdr:col>
      <xdr:colOff>939800</xdr:colOff>
      <xdr:row>116</xdr:row>
      <xdr:rowOff>139700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1066800</xdr:colOff>
      <xdr:row>81</xdr:row>
      <xdr:rowOff>63500</xdr:rowOff>
    </xdr:from>
    <xdr:to>
      <xdr:col>7</xdr:col>
      <xdr:colOff>50800</xdr:colOff>
      <xdr:row>116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177800</xdr:colOff>
      <xdr:row>81</xdr:row>
      <xdr:rowOff>63500</xdr:rowOff>
    </xdr:from>
    <xdr:to>
      <xdr:col>10</xdr:col>
      <xdr:colOff>876300</xdr:colOff>
      <xdr:row>116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56</xdr:row>
      <xdr:rowOff>0</xdr:rowOff>
    </xdr:from>
    <xdr:to>
      <xdr:col>14</xdr:col>
      <xdr:colOff>0</xdr:colOff>
      <xdr:row>82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51</xdr:row>
      <xdr:rowOff>66675</xdr:rowOff>
    </xdr:from>
    <xdr:to>
      <xdr:col>14</xdr:col>
      <xdr:colOff>428625</xdr:colOff>
      <xdr:row>68</xdr:row>
      <xdr:rowOff>28575</xdr:rowOff>
    </xdr:to>
    <xdr:graphicFrame macro="">
      <xdr:nvGraphicFramePr>
        <xdr:cNvPr id="2" name="CapitalStructure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3B18-A137-1FE8-EF98-F7F55AA5C198}">
  <dimension ref="B1:J165"/>
  <sheetViews>
    <sheetView topLeftCell="A29" workbookViewId="0"/>
  </sheetViews>
  <sheetFormatPr baseColWidth="10" defaultColWidth="7.83203125" defaultRowHeight="15" customHeight="1"/>
  <cols>
    <col min="1" max="1" width="2.5" customWidth="1"/>
    <col min="2" max="2" width="18.83203125" customWidth="1"/>
    <col min="3" max="3" width="22.5" customWidth="1"/>
    <col min="4" max="4" width="15" customWidth="1"/>
    <col min="5" max="6" width="12.5" customWidth="1"/>
    <col min="7" max="7" width="15" customWidth="1"/>
    <col min="8" max="8" width="25.5" customWidth="1"/>
    <col min="9" max="10" width="12.5" customWidth="1"/>
  </cols>
  <sheetData>
    <row r="1" spans="2:10" ht="27" customHeight="1">
      <c r="B1" s="562" t="s">
        <v>0</v>
      </c>
      <c r="C1" s="540"/>
      <c r="D1" s="540"/>
      <c r="E1" s="540"/>
      <c r="F1" s="540"/>
      <c r="G1" s="540"/>
      <c r="H1" s="540"/>
      <c r="I1" s="540"/>
      <c r="J1" s="540"/>
    </row>
    <row r="2" spans="2:10" ht="21.75" customHeight="1">
      <c r="B2" s="563" t="s">
        <v>1</v>
      </c>
      <c r="C2" s="540"/>
      <c r="D2" s="540"/>
      <c r="E2" s="540"/>
      <c r="F2" s="540"/>
      <c r="G2" s="540"/>
      <c r="H2" s="540"/>
      <c r="I2" s="540"/>
      <c r="J2" s="540"/>
    </row>
    <row r="3" spans="2:10" ht="17.25" customHeight="1">
      <c r="B3" s="564" t="s">
        <v>2</v>
      </c>
      <c r="C3" s="540"/>
      <c r="D3" s="540"/>
      <c r="E3" s="540"/>
      <c r="F3" s="540"/>
      <c r="G3" s="540"/>
      <c r="H3" s="540"/>
      <c r="I3" s="540"/>
      <c r="J3" s="540"/>
    </row>
    <row r="5" spans="2:10" ht="21.75" customHeight="1">
      <c r="B5" s="1" t="s">
        <v>3</v>
      </c>
      <c r="C5" s="565" t="s">
        <v>4</v>
      </c>
      <c r="D5" s="540"/>
      <c r="E5" s="540"/>
      <c r="F5" s="540"/>
      <c r="G5" s="540"/>
      <c r="H5" s="540"/>
      <c r="I5" s="540"/>
      <c r="J5" s="540"/>
    </row>
    <row r="7" spans="2:10" ht="15" customHeight="1">
      <c r="B7" s="2" t="s">
        <v>5</v>
      </c>
      <c r="C7" s="3" t="s">
        <v>6</v>
      </c>
      <c r="D7" t="s">
        <v>7</v>
      </c>
    </row>
    <row r="8" spans="2:10" ht="15" customHeight="1">
      <c r="B8" s="2" t="s">
        <v>8</v>
      </c>
      <c r="C8" s="3" t="s">
        <v>6</v>
      </c>
      <c r="D8" t="s">
        <v>9</v>
      </c>
    </row>
    <row r="9" spans="2:10" ht="15.75" customHeight="1">
      <c r="B9" s="2" t="s">
        <v>10</v>
      </c>
      <c r="C9" s="4" t="s">
        <v>11</v>
      </c>
      <c r="D9" t="s">
        <v>12</v>
      </c>
    </row>
    <row r="10" spans="2:10" ht="15.75" customHeight="1">
      <c r="B10" s="5" t="s">
        <v>13</v>
      </c>
      <c r="C10" s="3" t="s">
        <v>14</v>
      </c>
    </row>
    <row r="11" spans="2:10" ht="19.5" customHeight="1">
      <c r="B11" s="566" t="s">
        <v>15</v>
      </c>
      <c r="C11" s="540"/>
      <c r="D11" s="540"/>
      <c r="E11" s="540"/>
      <c r="F11" s="540"/>
      <c r="G11" s="540"/>
      <c r="H11" s="540"/>
    </row>
    <row r="12" spans="2:10" ht="15" customHeight="1">
      <c r="B12" s="6" t="s">
        <v>16</v>
      </c>
      <c r="C12" s="6" t="s">
        <v>17</v>
      </c>
      <c r="D12" s="6" t="s">
        <v>18</v>
      </c>
      <c r="E12" s="6" t="s">
        <v>19</v>
      </c>
    </row>
    <row r="13" spans="2:10" ht="15" customHeight="1">
      <c r="B13" t="s">
        <v>20</v>
      </c>
      <c r="C13" t="s">
        <v>21</v>
      </c>
      <c r="D13" t="s">
        <v>21</v>
      </c>
      <c r="E13" t="s">
        <v>22</v>
      </c>
    </row>
    <row r="14" spans="2:10" ht="15" customHeight="1">
      <c r="B14" t="s">
        <v>23</v>
      </c>
      <c r="C14" t="s">
        <v>24</v>
      </c>
      <c r="D14" t="s">
        <v>25</v>
      </c>
      <c r="E14" t="s">
        <v>26</v>
      </c>
    </row>
    <row r="15" spans="2:10" ht="15" customHeight="1">
      <c r="B15" t="s">
        <v>27</v>
      </c>
      <c r="C15" s="2" t="s">
        <v>28</v>
      </c>
      <c r="D15" t="s">
        <v>28</v>
      </c>
      <c r="E15" s="2" t="s">
        <v>29</v>
      </c>
    </row>
    <row r="16" spans="2:10" ht="15" customHeight="1">
      <c r="B16" t="s">
        <v>30</v>
      </c>
      <c r="C16" t="s">
        <v>31</v>
      </c>
      <c r="D16" t="s">
        <v>32</v>
      </c>
      <c r="E16" s="2" t="s">
        <v>33</v>
      </c>
    </row>
    <row r="17" spans="2:10" ht="37.5" customHeight="1">
      <c r="B17" s="567" t="s">
        <v>34</v>
      </c>
      <c r="C17" s="540"/>
      <c r="D17" s="540"/>
      <c r="E17" s="540"/>
      <c r="F17" s="540"/>
    </row>
    <row r="20" spans="2:10" ht="17.25" customHeight="1">
      <c r="B20" s="557" t="s">
        <v>35</v>
      </c>
      <c r="C20" s="540"/>
      <c r="D20" s="540"/>
      <c r="E20" s="540"/>
      <c r="F20" s="540"/>
      <c r="G20" s="540"/>
      <c r="H20" s="540"/>
      <c r="I20" s="540"/>
      <c r="J20" s="540"/>
    </row>
    <row r="21" spans="2:10" ht="15.75" customHeight="1">
      <c r="B21" s="7" t="s">
        <v>36</v>
      </c>
      <c r="C21" s="5" t="s">
        <v>37</v>
      </c>
      <c r="F21" s="7" t="s">
        <v>38</v>
      </c>
      <c r="G21" s="8" t="s">
        <v>39</v>
      </c>
    </row>
    <row r="22" spans="2:10" ht="15.75" customHeight="1">
      <c r="B22" s="7" t="s">
        <v>40</v>
      </c>
      <c r="C22" s="7" t="s">
        <v>41</v>
      </c>
      <c r="F22" s="7" t="s">
        <v>42</v>
      </c>
      <c r="G22" s="2" t="s">
        <v>28</v>
      </c>
    </row>
    <row r="23" spans="2:10" ht="15.75" customHeight="1">
      <c r="B23" s="7" t="s">
        <v>43</v>
      </c>
      <c r="C23" s="7" t="s">
        <v>44</v>
      </c>
      <c r="F23" s="7" t="s">
        <v>45</v>
      </c>
      <c r="G23" s="9" t="s">
        <v>46</v>
      </c>
    </row>
    <row r="24" spans="2:10" ht="15.75" customHeight="1">
      <c r="B24" s="7" t="s">
        <v>47</v>
      </c>
      <c r="C24" s="7" t="s">
        <v>48</v>
      </c>
      <c r="F24" s="7" t="s">
        <v>49</v>
      </c>
      <c r="G24" s="9" t="s">
        <v>50</v>
      </c>
    </row>
    <row r="25" spans="2:10" ht="15.75" customHeight="1">
      <c r="B25" s="7" t="s">
        <v>51</v>
      </c>
      <c r="C25" s="7" t="s">
        <v>52</v>
      </c>
      <c r="F25" s="7" t="s">
        <v>53</v>
      </c>
      <c r="G25" s="9" t="s">
        <v>54</v>
      </c>
    </row>
    <row r="28" spans="2:10" ht="17.25" customHeight="1">
      <c r="B28" s="552" t="s">
        <v>55</v>
      </c>
      <c r="C28" s="540"/>
      <c r="D28" s="540"/>
      <c r="E28" s="540"/>
      <c r="F28" s="540"/>
      <c r="G28" s="540"/>
      <c r="H28" s="540"/>
      <c r="I28" s="540"/>
      <c r="J28" s="540"/>
    </row>
    <row r="30" spans="2:10" ht="15.75" customHeight="1">
      <c r="B30" s="10" t="s">
        <v>56</v>
      </c>
      <c r="C30" s="10" t="s">
        <v>57</v>
      </c>
      <c r="D30" s="10" t="s">
        <v>58</v>
      </c>
      <c r="E30" s="10" t="s">
        <v>59</v>
      </c>
      <c r="F30" s="10" t="s">
        <v>42</v>
      </c>
      <c r="G30" s="10" t="s">
        <v>60</v>
      </c>
      <c r="H30" s="10" t="s">
        <v>61</v>
      </c>
    </row>
    <row r="31" spans="2:10" ht="15.75" customHeight="1">
      <c r="B31" t="s">
        <v>62</v>
      </c>
      <c r="C31" t="s">
        <v>63</v>
      </c>
      <c r="D31" t="s">
        <v>64</v>
      </c>
      <c r="E31" s="11">
        <v>0.20899999999999999</v>
      </c>
      <c r="F31" t="s">
        <v>65</v>
      </c>
      <c r="G31" s="12" t="s">
        <v>66</v>
      </c>
      <c r="H31" s="13" t="s">
        <v>67</v>
      </c>
    </row>
    <row r="32" spans="2:10" ht="15.75" customHeight="1">
      <c r="B32" s="14" t="s">
        <v>68</v>
      </c>
      <c r="C32" s="14" t="s">
        <v>69</v>
      </c>
      <c r="D32" s="14" t="s">
        <v>70</v>
      </c>
      <c r="E32" s="15">
        <v>0.20100000000000001</v>
      </c>
      <c r="F32" s="14" t="s">
        <v>71</v>
      </c>
      <c r="G32" s="14" t="s">
        <v>72</v>
      </c>
      <c r="H32" s="14" t="s">
        <v>73</v>
      </c>
    </row>
    <row r="33" spans="2:10" ht="15.75" customHeight="1">
      <c r="B33" t="s">
        <v>74</v>
      </c>
      <c r="C33" t="s">
        <v>75</v>
      </c>
      <c r="D33" t="s">
        <v>76</v>
      </c>
      <c r="E33" s="11">
        <v>0.19400000000000001</v>
      </c>
      <c r="F33" t="s">
        <v>77</v>
      </c>
      <c r="G33" s="14" t="s">
        <v>78</v>
      </c>
      <c r="H33" t="s">
        <v>79</v>
      </c>
    </row>
    <row r="35" spans="2:10" ht="15.75" customHeight="1">
      <c r="B35" s="553" t="s">
        <v>80</v>
      </c>
      <c r="C35" s="540"/>
      <c r="D35" s="540"/>
      <c r="E35" s="540"/>
      <c r="F35" s="540"/>
      <c r="G35" s="540"/>
      <c r="H35" s="540"/>
    </row>
    <row r="40" spans="2:10" ht="17.25" customHeight="1">
      <c r="B40" s="557" t="s">
        <v>81</v>
      </c>
      <c r="C40" s="540"/>
      <c r="D40" s="540"/>
      <c r="E40" s="540"/>
      <c r="F40" s="540"/>
      <c r="G40" s="540"/>
      <c r="H40" s="540"/>
      <c r="I40" s="540"/>
      <c r="J40" s="540"/>
    </row>
    <row r="41" spans="2:10" ht="15.75" customHeight="1">
      <c r="B41" s="554" t="s">
        <v>82</v>
      </c>
      <c r="C41" s="540"/>
      <c r="D41" s="540"/>
      <c r="E41" s="540"/>
      <c r="F41" s="540"/>
      <c r="G41" s="540"/>
      <c r="H41" s="540"/>
      <c r="I41" s="540"/>
      <c r="J41" s="540"/>
    </row>
    <row r="42" spans="2:10" ht="15.75" customHeight="1">
      <c r="B42" s="555" t="s">
        <v>83</v>
      </c>
      <c r="C42" s="540"/>
      <c r="D42" s="540"/>
      <c r="E42" s="540"/>
      <c r="F42" s="540"/>
      <c r="G42" s="540"/>
      <c r="H42" s="540"/>
      <c r="I42" s="540"/>
      <c r="J42" s="540"/>
    </row>
    <row r="43" spans="2:10" ht="15.75" customHeight="1">
      <c r="B43" s="554" t="s">
        <v>84</v>
      </c>
      <c r="C43" s="540"/>
      <c r="D43" s="540"/>
      <c r="E43" s="540"/>
      <c r="F43" s="540"/>
      <c r="G43" s="540"/>
      <c r="H43" s="540"/>
      <c r="I43" s="540"/>
      <c r="J43" s="540"/>
    </row>
    <row r="44" spans="2:10" ht="15.75" customHeight="1">
      <c r="B44" s="555" t="s">
        <v>85</v>
      </c>
      <c r="C44" s="540"/>
      <c r="D44" s="540"/>
      <c r="E44" s="540"/>
      <c r="F44" s="540"/>
      <c r="G44" s="540"/>
      <c r="H44" s="540"/>
      <c r="I44" s="540"/>
      <c r="J44" s="540"/>
    </row>
    <row r="45" spans="2:10" ht="15.75" customHeight="1">
      <c r="B45" s="554" t="s">
        <v>86</v>
      </c>
      <c r="C45" s="540"/>
      <c r="D45" s="540"/>
      <c r="E45" s="540"/>
      <c r="F45" s="540"/>
      <c r="G45" s="540"/>
      <c r="H45" s="540"/>
      <c r="I45" s="540"/>
      <c r="J45" s="540"/>
    </row>
    <row r="46" spans="2:10" ht="15.75" customHeight="1">
      <c r="B46" s="561" t="s">
        <v>28</v>
      </c>
      <c r="C46" s="540"/>
      <c r="D46" s="540"/>
      <c r="E46" s="540"/>
      <c r="F46" s="540"/>
      <c r="G46" s="540"/>
      <c r="H46" s="540"/>
      <c r="I46" s="540"/>
      <c r="J46" s="540"/>
    </row>
    <row r="47" spans="2:10" ht="15.75" customHeight="1">
      <c r="B47" s="554" t="s">
        <v>87</v>
      </c>
      <c r="C47" s="540"/>
      <c r="D47" s="540"/>
      <c r="E47" s="540"/>
      <c r="F47" s="540"/>
      <c r="G47" s="540"/>
      <c r="H47" s="540"/>
      <c r="I47" s="540"/>
      <c r="J47" s="540"/>
    </row>
    <row r="48" spans="2:10" ht="15.75" customHeight="1">
      <c r="B48" s="555" t="s">
        <v>88</v>
      </c>
      <c r="C48" s="540"/>
      <c r="D48" s="540"/>
      <c r="E48" s="540"/>
      <c r="F48" s="540"/>
      <c r="G48" s="540"/>
      <c r="H48" s="540"/>
      <c r="I48" s="540"/>
      <c r="J48" s="540"/>
    </row>
    <row r="49" spans="2:10" ht="15.75" customHeight="1">
      <c r="B49" s="554" t="s">
        <v>89</v>
      </c>
      <c r="C49" s="540"/>
      <c r="D49" s="540"/>
      <c r="E49" s="540"/>
      <c r="F49" s="540"/>
      <c r="G49" s="540"/>
      <c r="H49" s="540"/>
      <c r="I49" s="540"/>
      <c r="J49" s="540"/>
    </row>
    <row r="50" spans="2:10" ht="15.75" customHeight="1">
      <c r="B50" s="555" t="s">
        <v>90</v>
      </c>
      <c r="C50" s="540"/>
      <c r="D50" s="540"/>
      <c r="E50" s="540"/>
      <c r="F50" s="540"/>
      <c r="G50" s="540"/>
      <c r="H50" s="540"/>
      <c r="I50" s="540"/>
      <c r="J50" s="540"/>
    </row>
    <row r="53" spans="2:10" ht="17.25" customHeight="1">
      <c r="B53" s="557" t="s">
        <v>91</v>
      </c>
      <c r="C53" s="540"/>
      <c r="D53" s="540"/>
      <c r="E53" s="540"/>
      <c r="F53" s="540"/>
      <c r="G53" s="540"/>
      <c r="H53" s="540"/>
      <c r="I53" s="540"/>
      <c r="J53" s="540"/>
    </row>
    <row r="54" spans="2:10" ht="15.75" customHeight="1">
      <c r="B54" s="16" t="s">
        <v>92</v>
      </c>
      <c r="C54" s="16" t="s">
        <v>19</v>
      </c>
      <c r="D54" s="560" t="s">
        <v>93</v>
      </c>
      <c r="E54" s="540"/>
      <c r="F54" s="540"/>
      <c r="G54" s="540"/>
      <c r="H54" s="540"/>
      <c r="I54" s="540"/>
      <c r="J54" s="540"/>
    </row>
    <row r="55" spans="2:10" ht="15.75" customHeight="1">
      <c r="B55" s="7" t="s">
        <v>94</v>
      </c>
      <c r="C55" s="17" t="s">
        <v>95</v>
      </c>
      <c r="D55" s="555" t="s">
        <v>96</v>
      </c>
      <c r="E55" s="540"/>
      <c r="F55" s="540"/>
      <c r="G55" s="540"/>
      <c r="H55" s="540"/>
      <c r="I55" s="540"/>
      <c r="J55" s="540"/>
    </row>
    <row r="56" spans="2:10" ht="15.75" customHeight="1">
      <c r="B56" s="7" t="s">
        <v>97</v>
      </c>
      <c r="C56" s="18" t="s">
        <v>98</v>
      </c>
      <c r="D56" s="555" t="s">
        <v>99</v>
      </c>
      <c r="E56" s="540"/>
      <c r="F56" s="540"/>
      <c r="G56" s="540"/>
      <c r="H56" s="540"/>
      <c r="I56" s="540"/>
      <c r="J56" s="540"/>
    </row>
    <row r="57" spans="2:10" ht="15.75" customHeight="1">
      <c r="B57" s="7" t="s">
        <v>100</v>
      </c>
      <c r="C57" s="18" t="s">
        <v>98</v>
      </c>
      <c r="D57" s="555" t="s">
        <v>101</v>
      </c>
      <c r="E57" s="540"/>
      <c r="F57" s="540"/>
      <c r="G57" s="540"/>
      <c r="H57" s="540"/>
      <c r="I57" s="540"/>
      <c r="J57" s="540"/>
    </row>
    <row r="58" spans="2:10" ht="15.75" customHeight="1">
      <c r="B58" s="7" t="s">
        <v>102</v>
      </c>
      <c r="C58" s="18" t="s">
        <v>98</v>
      </c>
      <c r="D58" s="555" t="s">
        <v>103</v>
      </c>
      <c r="E58" s="540"/>
      <c r="F58" s="540"/>
      <c r="G58" s="540"/>
      <c r="H58" s="540"/>
      <c r="I58" s="540"/>
      <c r="J58" s="540"/>
    </row>
    <row r="59" spans="2:10" ht="15.75" customHeight="1">
      <c r="B59" s="7" t="s">
        <v>104</v>
      </c>
      <c r="C59" s="19" t="s">
        <v>78</v>
      </c>
      <c r="D59" s="555" t="s">
        <v>105</v>
      </c>
      <c r="E59" s="540"/>
      <c r="F59" s="540"/>
      <c r="G59" s="540"/>
      <c r="H59" s="540"/>
      <c r="I59" s="540"/>
      <c r="J59" s="540"/>
    </row>
    <row r="63" spans="2:10" ht="17.25" customHeight="1">
      <c r="B63" s="557" t="s">
        <v>106</v>
      </c>
      <c r="C63" s="540"/>
      <c r="D63" s="540"/>
      <c r="E63" s="540"/>
      <c r="F63" s="540"/>
      <c r="G63" s="540"/>
      <c r="H63" s="540"/>
      <c r="I63" s="540"/>
      <c r="J63" s="540"/>
    </row>
    <row r="64" spans="2:10" ht="15.75" customHeight="1">
      <c r="B64" s="16" t="s">
        <v>107</v>
      </c>
      <c r="C64" s="16" t="s">
        <v>108</v>
      </c>
      <c r="D64" s="16" t="s">
        <v>59</v>
      </c>
      <c r="E64" s="16" t="s">
        <v>109</v>
      </c>
      <c r="F64" s="16" t="s">
        <v>110</v>
      </c>
      <c r="G64" s="560" t="s">
        <v>111</v>
      </c>
      <c r="H64" s="540"/>
      <c r="I64" s="540"/>
      <c r="J64" s="540"/>
    </row>
    <row r="65" spans="2:10" ht="15.75" customHeight="1">
      <c r="B65" s="7" t="s">
        <v>112</v>
      </c>
      <c r="C65" s="7" t="s">
        <v>113</v>
      </c>
      <c r="D65" s="7" t="s">
        <v>114</v>
      </c>
      <c r="E65" s="7" t="s">
        <v>115</v>
      </c>
      <c r="F65" s="7" t="s">
        <v>116</v>
      </c>
      <c r="G65" s="555" t="s">
        <v>117</v>
      </c>
      <c r="H65" s="540"/>
      <c r="I65" s="540"/>
      <c r="J65" s="540"/>
    </row>
    <row r="66" spans="2:10" ht="15.75" customHeight="1">
      <c r="B66" s="20" t="s">
        <v>118</v>
      </c>
      <c r="C66" s="20" t="s">
        <v>119</v>
      </c>
      <c r="D66" s="20" t="s">
        <v>39</v>
      </c>
      <c r="E66" s="2" t="s">
        <v>28</v>
      </c>
      <c r="F66" s="20" t="s">
        <v>120</v>
      </c>
      <c r="G66" s="558" t="s">
        <v>121</v>
      </c>
      <c r="H66" s="540"/>
      <c r="I66" s="540"/>
      <c r="J66" s="540"/>
    </row>
    <row r="67" spans="2:10" ht="15.75" customHeight="1">
      <c r="B67" s="7" t="s">
        <v>122</v>
      </c>
      <c r="C67" s="7" t="s">
        <v>113</v>
      </c>
      <c r="D67" s="7" t="s">
        <v>123</v>
      </c>
      <c r="E67" s="7" t="s">
        <v>124</v>
      </c>
      <c r="F67" s="7" t="s">
        <v>125</v>
      </c>
      <c r="G67" s="555" t="s">
        <v>126</v>
      </c>
      <c r="H67" s="540"/>
      <c r="I67" s="540"/>
      <c r="J67" s="540"/>
    </row>
    <row r="68" spans="2:10" ht="15.75" customHeight="1">
      <c r="B68" s="21" t="s">
        <v>127</v>
      </c>
      <c r="C68" s="21" t="s">
        <v>128</v>
      </c>
      <c r="D68" s="21" t="s">
        <v>129</v>
      </c>
      <c r="E68" s="21" t="s">
        <v>130</v>
      </c>
      <c r="F68" s="21" t="s">
        <v>131</v>
      </c>
      <c r="G68" s="559" t="s">
        <v>132</v>
      </c>
      <c r="H68" s="540"/>
      <c r="I68" s="540"/>
      <c r="J68" s="540"/>
    </row>
    <row r="70" spans="2:10" ht="16.5" customHeight="1">
      <c r="B70" s="545" t="s">
        <v>133</v>
      </c>
      <c r="C70" s="540"/>
      <c r="D70" s="540"/>
      <c r="E70" s="540"/>
      <c r="F70" s="540"/>
      <c r="G70" s="540"/>
    </row>
    <row r="72" spans="2:10" ht="15" customHeight="1">
      <c r="B72" s="546" t="s">
        <v>134</v>
      </c>
      <c r="C72" s="540"/>
      <c r="D72" s="540"/>
      <c r="E72" s="540"/>
      <c r="F72" t="s">
        <v>135</v>
      </c>
      <c r="G72" s="22" t="s">
        <v>6</v>
      </c>
    </row>
    <row r="73" spans="2:10" ht="30" customHeight="1">
      <c r="B73" t="s">
        <v>136</v>
      </c>
      <c r="C73" s="547" t="s">
        <v>137</v>
      </c>
      <c r="D73" s="540"/>
      <c r="E73" s="540"/>
      <c r="F73" s="540"/>
      <c r="G73" s="540"/>
    </row>
    <row r="74" spans="2:10" ht="15" customHeight="1">
      <c r="B74" t="s">
        <v>138</v>
      </c>
      <c r="C74" s="548" t="s">
        <v>139</v>
      </c>
      <c r="D74" s="540"/>
      <c r="E74" s="540"/>
      <c r="F74" s="540"/>
      <c r="G74" s="540"/>
    </row>
    <row r="75" spans="2:10" ht="15" customHeight="1">
      <c r="B75" t="s">
        <v>140</v>
      </c>
    </row>
    <row r="76" spans="2:10" ht="15" customHeight="1">
      <c r="C76" s="549" t="s">
        <v>141</v>
      </c>
      <c r="D76" s="540"/>
      <c r="E76" s="540"/>
      <c r="F76" s="540"/>
      <c r="G76" s="540"/>
    </row>
    <row r="77" spans="2:10" ht="15" customHeight="1">
      <c r="C77" s="549" t="s">
        <v>142</v>
      </c>
      <c r="D77" s="540"/>
      <c r="E77" s="540"/>
      <c r="F77" s="540"/>
      <c r="G77" s="540"/>
    </row>
    <row r="78" spans="2:10" ht="15" customHeight="1">
      <c r="C78" s="549" t="s">
        <v>143</v>
      </c>
      <c r="D78" s="540"/>
      <c r="E78" s="540"/>
      <c r="F78" s="540"/>
      <c r="G78" s="540"/>
    </row>
    <row r="79" spans="2:10" ht="15" customHeight="1">
      <c r="C79" s="549" t="s">
        <v>144</v>
      </c>
      <c r="D79" s="540"/>
      <c r="E79" s="540"/>
      <c r="F79" s="540"/>
      <c r="G79" s="540"/>
    </row>
    <row r="81" spans="2:7" ht="15" customHeight="1">
      <c r="B81" s="546" t="s">
        <v>145</v>
      </c>
      <c r="C81" s="540"/>
      <c r="D81" s="540"/>
      <c r="E81" s="540"/>
      <c r="F81" t="s">
        <v>135</v>
      </c>
      <c r="G81" s="23" t="s">
        <v>11</v>
      </c>
    </row>
    <row r="82" spans="2:7" ht="30" customHeight="1">
      <c r="B82" t="s">
        <v>136</v>
      </c>
      <c r="C82" s="547" t="s">
        <v>146</v>
      </c>
      <c r="D82" s="540"/>
      <c r="E82" s="540"/>
      <c r="F82" s="540"/>
      <c r="G82" s="540"/>
    </row>
    <row r="83" spans="2:7" ht="15" customHeight="1">
      <c r="B83" t="s">
        <v>138</v>
      </c>
      <c r="C83" s="548" t="s">
        <v>147</v>
      </c>
      <c r="D83" s="540"/>
      <c r="E83" s="540"/>
      <c r="F83" s="540"/>
      <c r="G83" s="540"/>
    </row>
    <row r="84" spans="2:7" ht="15" customHeight="1">
      <c r="B84" t="s">
        <v>140</v>
      </c>
    </row>
    <row r="85" spans="2:7" ht="15" customHeight="1">
      <c r="C85" s="549" t="s">
        <v>148</v>
      </c>
      <c r="D85" s="540"/>
      <c r="E85" s="540"/>
      <c r="F85" s="540"/>
      <c r="G85" s="540"/>
    </row>
    <row r="86" spans="2:7" ht="15" customHeight="1">
      <c r="C86" s="549" t="s">
        <v>149</v>
      </c>
      <c r="D86" s="540"/>
      <c r="E86" s="540"/>
      <c r="F86" s="540"/>
      <c r="G86" s="540"/>
    </row>
    <row r="87" spans="2:7" ht="15" customHeight="1">
      <c r="C87" s="549" t="s">
        <v>150</v>
      </c>
      <c r="D87" s="540"/>
      <c r="E87" s="540"/>
      <c r="F87" s="540"/>
      <c r="G87" s="540"/>
    </row>
    <row r="88" spans="2:7" ht="15" customHeight="1">
      <c r="C88" s="549" t="s">
        <v>151</v>
      </c>
      <c r="D88" s="540"/>
      <c r="E88" s="540"/>
      <c r="F88" s="540"/>
      <c r="G88" s="540"/>
    </row>
    <row r="90" spans="2:7" ht="15" customHeight="1">
      <c r="B90" s="546" t="s">
        <v>152</v>
      </c>
      <c r="C90" s="540"/>
      <c r="D90" s="540"/>
      <c r="E90" s="540"/>
      <c r="F90" t="s">
        <v>135</v>
      </c>
      <c r="G90" s="23" t="s">
        <v>153</v>
      </c>
    </row>
    <row r="91" spans="2:7" ht="30" customHeight="1">
      <c r="B91" t="s">
        <v>136</v>
      </c>
      <c r="C91" s="547" t="s">
        <v>154</v>
      </c>
      <c r="D91" s="540"/>
      <c r="E91" s="540"/>
      <c r="F91" s="540"/>
      <c r="G91" s="540"/>
    </row>
    <row r="92" spans="2:7" ht="15" customHeight="1">
      <c r="B92" t="s">
        <v>138</v>
      </c>
      <c r="C92" s="548" t="s">
        <v>155</v>
      </c>
      <c r="D92" s="540"/>
      <c r="E92" s="540"/>
      <c r="F92" s="540"/>
      <c r="G92" s="540"/>
    </row>
    <row r="93" spans="2:7" ht="15" customHeight="1">
      <c r="B93" t="s">
        <v>140</v>
      </c>
    </row>
    <row r="94" spans="2:7" ht="15" customHeight="1">
      <c r="C94" s="549" t="s">
        <v>156</v>
      </c>
      <c r="D94" s="540"/>
      <c r="E94" s="540"/>
      <c r="F94" s="540"/>
      <c r="G94" s="540"/>
    </row>
    <row r="95" spans="2:7" ht="15" customHeight="1">
      <c r="C95" s="549" t="s">
        <v>157</v>
      </c>
      <c r="D95" s="540"/>
      <c r="E95" s="540"/>
      <c r="F95" s="540"/>
      <c r="G95" s="540"/>
    </row>
    <row r="96" spans="2:7" ht="15" customHeight="1">
      <c r="C96" s="549" t="s">
        <v>158</v>
      </c>
      <c r="D96" s="540"/>
      <c r="E96" s="540"/>
      <c r="F96" s="540"/>
      <c r="G96" s="540"/>
    </row>
    <row r="97" spans="2:7" ht="15" customHeight="1">
      <c r="C97" s="549" t="s">
        <v>159</v>
      </c>
      <c r="D97" s="540"/>
      <c r="E97" s="540"/>
      <c r="F97" s="540"/>
      <c r="G97" s="540"/>
    </row>
    <row r="98" spans="2:7" ht="15" customHeight="1">
      <c r="C98" s="549" t="s">
        <v>160</v>
      </c>
      <c r="D98" s="540"/>
      <c r="E98" s="540"/>
      <c r="F98" s="540"/>
      <c r="G98" s="540"/>
    </row>
    <row r="100" spans="2:7" ht="15" customHeight="1">
      <c r="B100" s="546" t="s">
        <v>161</v>
      </c>
      <c r="C100" s="540"/>
      <c r="D100" s="540"/>
      <c r="E100" s="540"/>
      <c r="F100" t="s">
        <v>135</v>
      </c>
      <c r="G100" s="23" t="s">
        <v>153</v>
      </c>
    </row>
    <row r="101" spans="2:7" ht="30" customHeight="1">
      <c r="B101" t="s">
        <v>136</v>
      </c>
      <c r="C101" s="547" t="s">
        <v>162</v>
      </c>
      <c r="D101" s="540"/>
      <c r="E101" s="540"/>
      <c r="F101" s="540"/>
      <c r="G101" s="540"/>
    </row>
    <row r="102" spans="2:7" ht="15" customHeight="1">
      <c r="B102" t="s">
        <v>138</v>
      </c>
      <c r="C102" s="548" t="s">
        <v>163</v>
      </c>
      <c r="D102" s="540"/>
      <c r="E102" s="540"/>
      <c r="F102" s="540"/>
      <c r="G102" s="540"/>
    </row>
    <row r="103" spans="2:7" ht="15" customHeight="1">
      <c r="B103" t="s">
        <v>140</v>
      </c>
    </row>
    <row r="104" spans="2:7" ht="15" customHeight="1">
      <c r="C104" s="549" t="s">
        <v>164</v>
      </c>
      <c r="D104" s="540"/>
      <c r="E104" s="540"/>
      <c r="F104" s="540"/>
      <c r="G104" s="540"/>
    </row>
    <row r="105" spans="2:7" ht="15" customHeight="1">
      <c r="C105" s="549" t="s">
        <v>165</v>
      </c>
      <c r="D105" s="540"/>
      <c r="E105" s="540"/>
      <c r="F105" s="540"/>
      <c r="G105" s="540"/>
    </row>
    <row r="106" spans="2:7" ht="15" customHeight="1">
      <c r="C106" s="549" t="s">
        <v>166</v>
      </c>
      <c r="D106" s="540"/>
      <c r="E106" s="540"/>
      <c r="F106" s="540"/>
      <c r="G106" s="540"/>
    </row>
    <row r="107" spans="2:7" ht="15" customHeight="1">
      <c r="C107" s="549" t="s">
        <v>167</v>
      </c>
      <c r="D107" s="540"/>
      <c r="E107" s="540"/>
      <c r="F107" s="540"/>
      <c r="G107" s="540"/>
    </row>
    <row r="109" spans="2:7" ht="15" customHeight="1">
      <c r="B109" s="546" t="s">
        <v>168</v>
      </c>
      <c r="C109" s="540"/>
      <c r="D109" s="540"/>
      <c r="E109" s="540"/>
      <c r="F109" t="s">
        <v>135</v>
      </c>
      <c r="G109" s="24" t="s">
        <v>169</v>
      </c>
    </row>
    <row r="110" spans="2:7" ht="30" customHeight="1">
      <c r="B110" t="s">
        <v>136</v>
      </c>
      <c r="C110" s="547" t="s">
        <v>170</v>
      </c>
      <c r="D110" s="540"/>
      <c r="E110" s="540"/>
      <c r="F110" s="540"/>
      <c r="G110" s="540"/>
    </row>
    <row r="111" spans="2:7" ht="15" customHeight="1">
      <c r="B111" t="s">
        <v>138</v>
      </c>
      <c r="C111" s="548" t="s">
        <v>171</v>
      </c>
      <c r="D111" s="540"/>
      <c r="E111" s="540"/>
      <c r="F111" s="540"/>
      <c r="G111" s="540"/>
    </row>
    <row r="112" spans="2:7" ht="15" customHeight="1">
      <c r="B112" t="s">
        <v>140</v>
      </c>
    </row>
    <row r="113" spans="2:7" ht="15" customHeight="1">
      <c r="C113" s="549" t="s">
        <v>172</v>
      </c>
      <c r="D113" s="540"/>
      <c r="E113" s="540"/>
      <c r="F113" s="540"/>
      <c r="G113" s="540"/>
    </row>
    <row r="114" spans="2:7" ht="15" customHeight="1">
      <c r="C114" s="549" t="s">
        <v>173</v>
      </c>
      <c r="D114" s="540"/>
      <c r="E114" s="540"/>
      <c r="F114" s="540"/>
      <c r="G114" s="540"/>
    </row>
    <row r="115" spans="2:7" ht="15" customHeight="1">
      <c r="C115" s="549" t="s">
        <v>174</v>
      </c>
      <c r="D115" s="540"/>
      <c r="E115" s="540"/>
      <c r="F115" s="540"/>
      <c r="G115" s="540"/>
    </row>
    <row r="116" spans="2:7" ht="15" customHeight="1">
      <c r="C116" s="549" t="s">
        <v>175</v>
      </c>
      <c r="D116" s="540"/>
      <c r="E116" s="540"/>
      <c r="F116" s="540"/>
      <c r="G116" s="540"/>
    </row>
    <row r="119" spans="2:7" ht="15" customHeight="1">
      <c r="B119" s="539" t="s">
        <v>176</v>
      </c>
      <c r="C119" s="540"/>
      <c r="D119" s="540"/>
      <c r="E119" s="540"/>
      <c r="F119" s="540"/>
      <c r="G119" s="540"/>
    </row>
    <row r="120" spans="2:7" ht="15" customHeight="1">
      <c r="B120" s="25" t="s">
        <v>177</v>
      </c>
      <c r="C120" s="25" t="s">
        <v>60</v>
      </c>
      <c r="D120" s="25" t="s">
        <v>178</v>
      </c>
      <c r="E120" s="25" t="s">
        <v>179</v>
      </c>
      <c r="F120" s="25" t="s">
        <v>180</v>
      </c>
    </row>
    <row r="121" spans="2:7" ht="15" customHeight="1">
      <c r="B121" s="26" t="s">
        <v>181</v>
      </c>
      <c r="C121" s="27" t="s">
        <v>6</v>
      </c>
      <c r="D121" s="26" t="s">
        <v>182</v>
      </c>
      <c r="E121" s="26" t="s">
        <v>183</v>
      </c>
      <c r="F121" s="28" t="s">
        <v>153</v>
      </c>
    </row>
    <row r="122" spans="2:7" ht="15" customHeight="1">
      <c r="B122" s="26" t="s">
        <v>184</v>
      </c>
      <c r="C122" s="29" t="s">
        <v>185</v>
      </c>
      <c r="D122" s="26" t="s">
        <v>186</v>
      </c>
      <c r="E122" s="26" t="s">
        <v>187</v>
      </c>
      <c r="F122" s="28" t="s">
        <v>153</v>
      </c>
    </row>
    <row r="123" spans="2:7" ht="15" customHeight="1">
      <c r="B123" s="26" t="s">
        <v>188</v>
      </c>
      <c r="C123" s="28" t="s">
        <v>153</v>
      </c>
      <c r="D123" s="26" t="s">
        <v>189</v>
      </c>
      <c r="E123" s="26" t="s">
        <v>190</v>
      </c>
      <c r="F123" s="30" t="s">
        <v>191</v>
      </c>
    </row>
    <row r="124" spans="2:7" ht="15" customHeight="1">
      <c r="B124" s="26" t="s">
        <v>192</v>
      </c>
      <c r="C124" s="28" t="s">
        <v>153</v>
      </c>
      <c r="D124" s="26" t="s">
        <v>193</v>
      </c>
      <c r="E124" s="26" t="s">
        <v>194</v>
      </c>
      <c r="F124" s="28" t="s">
        <v>153</v>
      </c>
    </row>
    <row r="125" spans="2:7" ht="15" customHeight="1">
      <c r="B125" s="26" t="s">
        <v>97</v>
      </c>
      <c r="C125" s="30" t="s">
        <v>195</v>
      </c>
      <c r="D125" s="26" t="s">
        <v>196</v>
      </c>
      <c r="E125" s="26" t="s">
        <v>197</v>
      </c>
      <c r="F125" s="31" t="s">
        <v>198</v>
      </c>
    </row>
    <row r="127" spans="2:7" ht="15" customHeight="1">
      <c r="B127" s="539" t="s">
        <v>199</v>
      </c>
      <c r="C127" s="540"/>
      <c r="D127" s="540"/>
      <c r="E127" s="540"/>
      <c r="F127" s="540"/>
      <c r="G127" s="540"/>
    </row>
    <row r="128" spans="2:7" ht="15" customHeight="1">
      <c r="B128" s="32" t="s">
        <v>200</v>
      </c>
      <c r="C128" s="541" t="s">
        <v>201</v>
      </c>
      <c r="D128" s="540"/>
      <c r="E128" s="540"/>
      <c r="F128" s="540"/>
    </row>
    <row r="129" spans="2:10" ht="15" customHeight="1">
      <c r="B129" s="32" t="s">
        <v>202</v>
      </c>
      <c r="C129" s="542" t="s">
        <v>203</v>
      </c>
      <c r="D129" s="540"/>
      <c r="E129" s="540"/>
      <c r="F129" s="540"/>
    </row>
    <row r="130" spans="2:10" ht="15" customHeight="1">
      <c r="B130" t="s">
        <v>204</v>
      </c>
    </row>
    <row r="131" spans="2:10" ht="26.25" customHeight="1">
      <c r="B131" s="543" t="s">
        <v>205</v>
      </c>
      <c r="C131" s="540"/>
      <c r="D131" s="540"/>
      <c r="E131" s="540"/>
      <c r="F131" s="540"/>
      <c r="G131" s="540"/>
    </row>
    <row r="137" spans="2:10" ht="17.25" customHeight="1">
      <c r="B137" s="557" t="s">
        <v>206</v>
      </c>
      <c r="C137" s="540"/>
      <c r="D137" s="540"/>
      <c r="E137" s="540"/>
      <c r="F137" s="540"/>
      <c r="G137" s="540"/>
      <c r="H137" s="540"/>
      <c r="I137" s="540"/>
      <c r="J137" s="540"/>
    </row>
    <row r="138" spans="2:10" ht="15.75" customHeight="1">
      <c r="B138" s="16" t="s">
        <v>207</v>
      </c>
      <c r="C138" s="16" t="s">
        <v>208</v>
      </c>
      <c r="D138" s="16" t="s">
        <v>209</v>
      </c>
      <c r="E138" s="16" t="s">
        <v>210</v>
      </c>
    </row>
    <row r="139" spans="2:10" ht="15.75" customHeight="1">
      <c r="B139" s="7" t="s">
        <v>211</v>
      </c>
      <c r="C139" s="7" t="s">
        <v>21</v>
      </c>
      <c r="D139" s="7" t="s">
        <v>39</v>
      </c>
      <c r="E139" s="8" t="s">
        <v>212</v>
      </c>
    </row>
    <row r="140" spans="2:10" ht="15.75" customHeight="1">
      <c r="B140" s="7" t="s">
        <v>213</v>
      </c>
      <c r="C140" s="7" t="s">
        <v>214</v>
      </c>
      <c r="D140" s="2" t="s">
        <v>28</v>
      </c>
      <c r="E140" s="8" t="s">
        <v>212</v>
      </c>
    </row>
    <row r="141" spans="2:10" ht="15.75" customHeight="1">
      <c r="B141" s="7" t="s">
        <v>215</v>
      </c>
      <c r="C141" s="7" t="s">
        <v>21</v>
      </c>
      <c r="D141" s="7" t="s">
        <v>114</v>
      </c>
      <c r="E141" s="8" t="s">
        <v>212</v>
      </c>
    </row>
    <row r="142" spans="2:10" ht="15.75" customHeight="1">
      <c r="B142" s="7" t="s">
        <v>216</v>
      </c>
      <c r="C142" s="7" t="s">
        <v>217</v>
      </c>
      <c r="D142" s="7" t="s">
        <v>120</v>
      </c>
      <c r="E142" s="8" t="s">
        <v>212</v>
      </c>
    </row>
    <row r="143" spans="2:10" ht="15.75" customHeight="1">
      <c r="B143" s="7" t="s">
        <v>218</v>
      </c>
      <c r="C143" s="7" t="s">
        <v>219</v>
      </c>
      <c r="D143" s="7" t="s">
        <v>50</v>
      </c>
      <c r="E143" s="8" t="s">
        <v>212</v>
      </c>
    </row>
    <row r="144" spans="2:10" ht="15.75" customHeight="1">
      <c r="B144" s="7" t="s">
        <v>220</v>
      </c>
      <c r="C144" s="7" t="s">
        <v>221</v>
      </c>
      <c r="D144" s="7" t="s">
        <v>222</v>
      </c>
      <c r="E144" s="8" t="s">
        <v>212</v>
      </c>
    </row>
    <row r="145" spans="2:10" ht="17.25" customHeight="1">
      <c r="B145" s="554" t="s">
        <v>223</v>
      </c>
      <c r="C145" s="540"/>
      <c r="D145" s="556" t="s">
        <v>224</v>
      </c>
      <c r="E145" s="540"/>
    </row>
    <row r="147" spans="2:10" ht="17.25" customHeight="1">
      <c r="B147" s="557" t="s">
        <v>225</v>
      </c>
      <c r="C147" s="540"/>
      <c r="D147" s="540"/>
      <c r="E147" s="540"/>
      <c r="F147" s="540"/>
      <c r="G147" s="540"/>
      <c r="H147" s="540"/>
      <c r="I147" s="540"/>
      <c r="J147" s="540"/>
    </row>
    <row r="148" spans="2:10" ht="15.75" customHeight="1">
      <c r="B148" s="554" t="s">
        <v>226</v>
      </c>
      <c r="C148" s="540"/>
      <c r="D148" s="555" t="s">
        <v>227</v>
      </c>
      <c r="E148" s="540"/>
      <c r="F148" s="540"/>
      <c r="G148" s="540"/>
      <c r="H148" s="540"/>
      <c r="I148" s="540"/>
      <c r="J148" s="540"/>
    </row>
    <row r="149" spans="2:10" ht="15.75" customHeight="1">
      <c r="B149" s="554" t="s">
        <v>228</v>
      </c>
      <c r="C149" s="540"/>
      <c r="D149" s="555" t="s">
        <v>229</v>
      </c>
      <c r="E149" s="540"/>
      <c r="F149" s="540"/>
      <c r="G149" s="540"/>
      <c r="H149" s="540"/>
      <c r="I149" s="540"/>
      <c r="J149" s="540"/>
    </row>
    <row r="150" spans="2:10" ht="15.75" customHeight="1">
      <c r="B150" s="554" t="s">
        <v>230</v>
      </c>
      <c r="C150" s="540"/>
      <c r="D150" s="555" t="s">
        <v>231</v>
      </c>
      <c r="E150" s="540"/>
      <c r="F150" s="540"/>
      <c r="G150" s="540"/>
      <c r="H150" s="540"/>
      <c r="I150" s="540"/>
      <c r="J150" s="540"/>
    </row>
    <row r="151" spans="2:10" ht="15.75" customHeight="1">
      <c r="B151" s="554" t="s">
        <v>232</v>
      </c>
      <c r="C151" s="540"/>
      <c r="D151" s="555" t="s">
        <v>233</v>
      </c>
      <c r="E151" s="540"/>
      <c r="F151" s="540"/>
      <c r="G151" s="540"/>
      <c r="H151" s="540"/>
      <c r="I151" s="540"/>
      <c r="J151" s="540"/>
    </row>
    <row r="153" spans="2:10" ht="15" customHeight="1">
      <c r="B153" s="550" t="s">
        <v>234</v>
      </c>
      <c r="C153" s="540"/>
      <c r="D153" s="540"/>
      <c r="E153" s="540"/>
      <c r="F153" s="540"/>
      <c r="G153" s="540"/>
      <c r="H153" s="540"/>
      <c r="I153" s="540"/>
      <c r="J153" s="540"/>
    </row>
    <row r="154" spans="2:10" ht="15" customHeight="1">
      <c r="B154" s="550" t="s">
        <v>235</v>
      </c>
      <c r="C154" s="540"/>
      <c r="D154" s="540"/>
      <c r="E154" s="540"/>
      <c r="F154" s="540"/>
      <c r="G154" s="540"/>
      <c r="H154" s="540"/>
      <c r="I154" s="540"/>
      <c r="J154" s="540"/>
    </row>
    <row r="155" spans="2:10" ht="15" customHeight="1">
      <c r="B155" s="551" t="s">
        <v>236</v>
      </c>
      <c r="C155" s="540"/>
      <c r="D155" s="540"/>
      <c r="E155" s="540"/>
      <c r="F155" s="540"/>
      <c r="G155" s="540"/>
      <c r="H155" s="540"/>
      <c r="I155" s="540"/>
      <c r="J155" s="540"/>
    </row>
    <row r="158" spans="2:10" ht="60" customHeight="1">
      <c r="B158" s="544" t="s">
        <v>237</v>
      </c>
      <c r="C158" s="540"/>
      <c r="D158" s="540"/>
      <c r="E158" s="540"/>
      <c r="F158" s="540"/>
      <c r="G158" s="540"/>
      <c r="H158" s="540"/>
    </row>
    <row r="159" spans="2:10" ht="15" customHeight="1">
      <c r="B159" s="540"/>
      <c r="C159" s="540"/>
      <c r="D159" s="540"/>
      <c r="E159" s="540"/>
      <c r="F159" s="540"/>
      <c r="G159" s="540"/>
      <c r="H159" s="540"/>
    </row>
    <row r="161" spans="2:3" ht="15" customHeight="1">
      <c r="B161" s="33" t="s">
        <v>238</v>
      </c>
    </row>
    <row r="162" spans="2:3" ht="15" customHeight="1">
      <c r="B162" t="s">
        <v>239</v>
      </c>
      <c r="C162" t="s">
        <v>240</v>
      </c>
    </row>
    <row r="163" spans="2:3" ht="15" customHeight="1">
      <c r="B163" t="s">
        <v>241</v>
      </c>
      <c r="C163" t="s">
        <v>242</v>
      </c>
    </row>
    <row r="164" spans="2:3" ht="15" customHeight="1">
      <c r="B164" t="s">
        <v>243</v>
      </c>
      <c r="C164" t="s">
        <v>244</v>
      </c>
    </row>
    <row r="165" spans="2:3" ht="15" customHeight="1">
      <c r="B165" t="s">
        <v>245</v>
      </c>
      <c r="C165" t="s">
        <v>246</v>
      </c>
    </row>
  </sheetData>
  <mergeCells count="91">
    <mergeCell ref="B1:J1"/>
    <mergeCell ref="B2:J2"/>
    <mergeCell ref="B3:J3"/>
    <mergeCell ref="C5:J5"/>
    <mergeCell ref="B20:J20"/>
    <mergeCell ref="B11:H11"/>
    <mergeCell ref="B17:F17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3:J53"/>
    <mergeCell ref="D54:J54"/>
    <mergeCell ref="D55:J55"/>
    <mergeCell ref="D56:J56"/>
    <mergeCell ref="D57:J57"/>
    <mergeCell ref="D58:J58"/>
    <mergeCell ref="D59:J59"/>
    <mergeCell ref="B63:J63"/>
    <mergeCell ref="G64:J64"/>
    <mergeCell ref="G65:J65"/>
    <mergeCell ref="G66:J66"/>
    <mergeCell ref="G67:J67"/>
    <mergeCell ref="G68:J68"/>
    <mergeCell ref="B137:J137"/>
    <mergeCell ref="C104:G104"/>
    <mergeCell ref="C105:G105"/>
    <mergeCell ref="C106:G106"/>
    <mergeCell ref="C107:G107"/>
    <mergeCell ref="B109:E109"/>
    <mergeCell ref="C110:G110"/>
    <mergeCell ref="C111:G111"/>
    <mergeCell ref="C113:G113"/>
    <mergeCell ref="C114:G114"/>
    <mergeCell ref="C115:G115"/>
    <mergeCell ref="C116:G116"/>
    <mergeCell ref="B145:C145"/>
    <mergeCell ref="D145:E145"/>
    <mergeCell ref="B147:J147"/>
    <mergeCell ref="B148:C148"/>
    <mergeCell ref="D148:J148"/>
    <mergeCell ref="B149:C149"/>
    <mergeCell ref="D149:J149"/>
    <mergeCell ref="B150:C150"/>
    <mergeCell ref="D150:J150"/>
    <mergeCell ref="B151:C151"/>
    <mergeCell ref="D151:J151"/>
    <mergeCell ref="B153:J153"/>
    <mergeCell ref="B154:J154"/>
    <mergeCell ref="B155:J155"/>
    <mergeCell ref="B28:J28"/>
    <mergeCell ref="B35:H35"/>
    <mergeCell ref="B90:E90"/>
    <mergeCell ref="C91:G91"/>
    <mergeCell ref="C92:G92"/>
    <mergeCell ref="C94:G94"/>
    <mergeCell ref="C95:G95"/>
    <mergeCell ref="C96:G96"/>
    <mergeCell ref="C97:G97"/>
    <mergeCell ref="C98:G98"/>
    <mergeCell ref="B100:E100"/>
    <mergeCell ref="C101:G101"/>
    <mergeCell ref="C102:G102"/>
    <mergeCell ref="B158:H159"/>
    <mergeCell ref="B70:G70"/>
    <mergeCell ref="B72:E72"/>
    <mergeCell ref="C73:G73"/>
    <mergeCell ref="C74:G74"/>
    <mergeCell ref="C76:G76"/>
    <mergeCell ref="C77:G77"/>
    <mergeCell ref="C78:G78"/>
    <mergeCell ref="C79:G79"/>
    <mergeCell ref="B81:E81"/>
    <mergeCell ref="C82:G82"/>
    <mergeCell ref="C83:G83"/>
    <mergeCell ref="C85:G85"/>
    <mergeCell ref="C86:G86"/>
    <mergeCell ref="C87:G87"/>
    <mergeCell ref="C88:G88"/>
    <mergeCell ref="B119:G119"/>
    <mergeCell ref="B127:G127"/>
    <mergeCell ref="C128:F128"/>
    <mergeCell ref="C129:F129"/>
    <mergeCell ref="B131:G131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9BE4-04B8-D75E-DCAA-97ADD938C3E8}">
  <sheetPr>
    <tabColor rgb="FF1A2744"/>
  </sheetPr>
  <dimension ref="A1:Z112"/>
  <sheetViews>
    <sheetView showGridLines="0" workbookViewId="0">
      <pane ySplit="4" topLeftCell="A59" activePane="bottomLeft" state="frozen"/>
      <selection pane="bottomLeft"/>
    </sheetView>
  </sheetViews>
  <sheetFormatPr baseColWidth="10" defaultColWidth="9" defaultRowHeight="16" customHeight="1" outlineLevelRow="1"/>
  <cols>
    <col min="1" max="1" width="1.33203125" customWidth="1"/>
    <col min="2" max="2" width="25" customWidth="1"/>
    <col min="3" max="4" width="22.5" customWidth="1"/>
    <col min="5" max="11" width="15" customWidth="1"/>
    <col min="12" max="16" width="15" hidden="1" customWidth="1"/>
    <col min="17" max="26" width="10.83203125" hidden="1" customWidth="1"/>
  </cols>
  <sheetData>
    <row r="1" spans="1:16" ht="21.75" customHeight="1">
      <c r="B1" s="568" t="s">
        <v>247</v>
      </c>
      <c r="C1" s="540"/>
      <c r="D1" s="540"/>
      <c r="E1" s="540"/>
      <c r="F1" s="540"/>
      <c r="G1" s="540"/>
      <c r="H1" s="540"/>
      <c r="I1" s="540"/>
      <c r="J1" s="540"/>
      <c r="K1" s="540"/>
    </row>
    <row r="2" spans="1:16" ht="14.25" customHeight="1">
      <c r="B2" s="569" t="s">
        <v>248</v>
      </c>
      <c r="C2" s="540"/>
      <c r="D2" s="540"/>
      <c r="E2" s="540"/>
      <c r="F2" s="540"/>
      <c r="G2" s="540"/>
      <c r="H2" s="540"/>
      <c r="I2" s="540"/>
      <c r="J2" s="540"/>
      <c r="K2" s="540"/>
    </row>
    <row r="3" spans="1:16" ht="16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6" ht="25.5" customHeight="1">
      <c r="A4" s="34"/>
      <c r="B4" s="35" t="s">
        <v>249</v>
      </c>
      <c r="C4" s="36"/>
      <c r="D4" s="36"/>
      <c r="E4" s="36"/>
      <c r="F4" s="36"/>
      <c r="G4" s="36"/>
      <c r="H4" s="36"/>
      <c r="I4" s="36"/>
      <c r="J4" s="37" t="s">
        <v>250</v>
      </c>
      <c r="K4" s="38" t="s">
        <v>251</v>
      </c>
    </row>
    <row r="5" spans="1:16" ht="14.25" customHeight="1">
      <c r="A5" s="34"/>
      <c r="B5" s="39" t="s">
        <v>252</v>
      </c>
      <c r="C5" s="40"/>
      <c r="D5" s="40"/>
      <c r="E5" s="40"/>
      <c r="F5" s="40"/>
      <c r="G5" s="40"/>
      <c r="H5" s="40"/>
      <c r="I5" s="40"/>
      <c r="J5" s="40"/>
      <c r="K5" s="41" t="s">
        <v>253</v>
      </c>
    </row>
    <row r="6" spans="1:16" ht="12.75" customHeight="1">
      <c r="A6" s="34"/>
      <c r="B6" s="42" t="s">
        <v>254</v>
      </c>
      <c r="C6" s="43"/>
      <c r="D6" s="43"/>
      <c r="E6" s="43"/>
      <c r="F6" s="43"/>
      <c r="G6" s="43"/>
      <c r="H6" s="43"/>
      <c r="I6" s="43"/>
      <c r="J6" s="43"/>
      <c r="K6" s="43"/>
    </row>
    <row r="7" spans="1:16" ht="16.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M7" s="576" t="s">
        <v>255</v>
      </c>
      <c r="N7" s="540"/>
      <c r="O7" s="540"/>
      <c r="P7" s="540"/>
    </row>
    <row r="8" spans="1:16" ht="12.75" customHeight="1">
      <c r="A8" s="34"/>
      <c r="B8" s="44" t="s">
        <v>256</v>
      </c>
      <c r="C8" s="44"/>
      <c r="D8" s="44" t="s">
        <v>257</v>
      </c>
      <c r="E8" s="44"/>
      <c r="F8" s="44" t="s">
        <v>258</v>
      </c>
      <c r="G8" s="44"/>
      <c r="H8" s="44" t="s">
        <v>259</v>
      </c>
      <c r="I8" s="44"/>
      <c r="J8" s="44" t="s">
        <v>260</v>
      </c>
      <c r="K8" s="44"/>
    </row>
    <row r="9" spans="1:16" ht="27" customHeight="1">
      <c r="A9" s="34"/>
      <c r="B9" s="45" t="s">
        <v>37</v>
      </c>
      <c r="C9" s="45"/>
      <c r="D9" s="46">
        <v>0.17799999999999999</v>
      </c>
      <c r="E9" s="45"/>
      <c r="F9" s="45" t="s">
        <v>261</v>
      </c>
      <c r="G9" s="45"/>
      <c r="H9" s="45" t="s">
        <v>262</v>
      </c>
      <c r="I9" s="45"/>
      <c r="J9" s="45" t="s">
        <v>50</v>
      </c>
      <c r="K9" s="45"/>
      <c r="M9" s="47" t="s">
        <v>263</v>
      </c>
      <c r="N9" s="583" t="s">
        <v>264</v>
      </c>
      <c r="O9" s="540"/>
    </row>
    <row r="10" spans="1:16" ht="12" customHeight="1">
      <c r="A10" s="34"/>
      <c r="B10" s="48" t="s">
        <v>265</v>
      </c>
      <c r="C10" s="48"/>
      <c r="D10" s="48" t="s">
        <v>266</v>
      </c>
      <c r="E10" s="48"/>
      <c r="F10" s="48" t="s">
        <v>267</v>
      </c>
      <c r="G10" s="48"/>
      <c r="H10" s="48" t="s">
        <v>268</v>
      </c>
      <c r="I10" s="48"/>
      <c r="J10" s="48" t="s">
        <v>269</v>
      </c>
      <c r="K10" s="48"/>
    </row>
    <row r="11" spans="1:16" ht="16.5" customHeight="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M11" s="47" t="s">
        <v>270</v>
      </c>
      <c r="N11" s="49" t="s">
        <v>271</v>
      </c>
    </row>
    <row r="12" spans="1:16" ht="15.75" customHeight="1">
      <c r="A12" s="34"/>
      <c r="B12" s="50" t="s">
        <v>272</v>
      </c>
      <c r="C12" s="51"/>
      <c r="D12" s="51"/>
      <c r="E12" s="52" t="s">
        <v>273</v>
      </c>
      <c r="F12" s="51"/>
      <c r="G12" s="51"/>
      <c r="H12" s="51"/>
      <c r="I12" s="51"/>
      <c r="J12" s="51"/>
      <c r="K12" s="51"/>
    </row>
    <row r="13" spans="1:16" ht="13.5" customHeight="1">
      <c r="A13" s="34"/>
      <c r="B13" s="53" t="s">
        <v>42</v>
      </c>
      <c r="C13" s="53" t="s">
        <v>208</v>
      </c>
      <c r="D13" s="54" t="s">
        <v>28</v>
      </c>
      <c r="E13" s="53" t="s">
        <v>210</v>
      </c>
      <c r="F13" s="53"/>
      <c r="G13" s="53" t="s">
        <v>207</v>
      </c>
      <c r="H13" s="53" t="s">
        <v>208</v>
      </c>
      <c r="I13" s="53" t="s">
        <v>209</v>
      </c>
      <c r="J13" s="53" t="s">
        <v>210</v>
      </c>
      <c r="K13" s="53"/>
      <c r="M13" s="47" t="s">
        <v>274</v>
      </c>
      <c r="N13" s="584" t="s">
        <v>275</v>
      </c>
      <c r="O13" s="540"/>
    </row>
    <row r="14" spans="1:16" ht="15" customHeight="1">
      <c r="A14" s="34"/>
      <c r="B14" s="55" t="s">
        <v>276</v>
      </c>
      <c r="C14" s="56" t="s">
        <v>277</v>
      </c>
      <c r="D14" s="57">
        <v>0.17799999999999999</v>
      </c>
      <c r="E14" s="58" t="s">
        <v>278</v>
      </c>
      <c r="F14" s="55"/>
      <c r="G14" s="55" t="s">
        <v>216</v>
      </c>
      <c r="H14" s="55" t="s">
        <v>217</v>
      </c>
      <c r="I14" s="59" t="s">
        <v>120</v>
      </c>
      <c r="J14" s="58" t="s">
        <v>278</v>
      </c>
      <c r="K14" s="55"/>
    </row>
    <row r="15" spans="1:16" ht="15" customHeight="1">
      <c r="A15" s="34"/>
      <c r="B15" s="34" t="s">
        <v>213</v>
      </c>
      <c r="C15" s="60" t="s">
        <v>279</v>
      </c>
      <c r="D15" s="61" t="s">
        <v>280</v>
      </c>
      <c r="E15" s="62" t="s">
        <v>278</v>
      </c>
      <c r="F15" s="34"/>
      <c r="G15" s="34" t="s">
        <v>281</v>
      </c>
      <c r="H15" s="34" t="s">
        <v>219</v>
      </c>
      <c r="I15" s="61" t="s">
        <v>50</v>
      </c>
      <c r="J15" s="62" t="s">
        <v>278</v>
      </c>
      <c r="K15" s="34"/>
      <c r="M15" s="63" t="s">
        <v>16</v>
      </c>
      <c r="N15" s="63" t="s">
        <v>210</v>
      </c>
      <c r="O15" s="63" t="s">
        <v>282</v>
      </c>
    </row>
    <row r="16" spans="1:16" ht="15" customHeight="1">
      <c r="A16" s="34"/>
      <c r="B16" s="55" t="s">
        <v>283</v>
      </c>
      <c r="C16" s="64" t="s">
        <v>284</v>
      </c>
      <c r="D16" s="64" t="s">
        <v>285</v>
      </c>
      <c r="E16" s="58" t="s">
        <v>278</v>
      </c>
      <c r="F16" s="55"/>
      <c r="G16" s="55" t="s">
        <v>220</v>
      </c>
      <c r="H16" s="65">
        <v>0.35</v>
      </c>
      <c r="I16" s="57">
        <v>0.40400000000000003</v>
      </c>
      <c r="J16" s="58" t="s">
        <v>278</v>
      </c>
      <c r="K16" s="55"/>
      <c r="M16" s="66" t="s">
        <v>286</v>
      </c>
      <c r="N16" s="67" t="s">
        <v>287</v>
      </c>
      <c r="O16" s="68" t="s">
        <v>288</v>
      </c>
    </row>
    <row r="17" spans="1:16" ht="16.5" customHeight="1">
      <c r="A17" s="34"/>
      <c r="B17" s="34"/>
      <c r="C17" s="34"/>
      <c r="D17" s="69" t="s">
        <v>289</v>
      </c>
      <c r="E17" s="34"/>
      <c r="F17" s="34"/>
      <c r="G17" s="34"/>
      <c r="H17" s="34"/>
      <c r="I17" s="34"/>
      <c r="J17" s="34"/>
      <c r="K17" s="34"/>
      <c r="M17" s="70" t="s">
        <v>290</v>
      </c>
      <c r="N17" s="71" t="s">
        <v>287</v>
      </c>
      <c r="O17" s="72" t="s">
        <v>291</v>
      </c>
    </row>
    <row r="18" spans="1:16" ht="15.75" customHeight="1">
      <c r="A18" s="34"/>
      <c r="B18" s="50" t="s">
        <v>106</v>
      </c>
      <c r="C18" s="51"/>
      <c r="D18" s="51"/>
      <c r="E18" s="51"/>
      <c r="F18" s="51"/>
      <c r="G18" s="51"/>
      <c r="H18" s="51"/>
      <c r="I18" s="51"/>
      <c r="J18" s="51"/>
      <c r="K18" s="51"/>
      <c r="M18" s="66" t="s">
        <v>45</v>
      </c>
      <c r="N18" s="67" t="s">
        <v>287</v>
      </c>
      <c r="O18" s="68" t="s">
        <v>292</v>
      </c>
    </row>
    <row r="19" spans="1:16" ht="13.5" customHeight="1">
      <c r="A19" s="34"/>
      <c r="B19" s="53"/>
      <c r="C19" s="53" t="s">
        <v>293</v>
      </c>
      <c r="D19" s="53" t="s">
        <v>294</v>
      </c>
      <c r="E19" s="53" t="s">
        <v>295</v>
      </c>
      <c r="F19" s="53" t="s">
        <v>127</v>
      </c>
      <c r="G19" s="53"/>
      <c r="H19" s="53"/>
      <c r="I19" s="53"/>
      <c r="J19" s="53"/>
      <c r="K19" s="53"/>
      <c r="M19" s="70" t="s">
        <v>49</v>
      </c>
      <c r="N19" s="71" t="s">
        <v>287</v>
      </c>
      <c r="O19" s="72" t="s">
        <v>50</v>
      </c>
    </row>
    <row r="20" spans="1:16" ht="19.5" customHeight="1">
      <c r="B20" s="570" t="s">
        <v>296</v>
      </c>
      <c r="C20" s="540"/>
      <c r="D20" s="540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71"/>
    </row>
    <row r="21" spans="1:16" ht="16" customHeight="1">
      <c r="B21" s="74" t="s">
        <v>297</v>
      </c>
      <c r="C21" s="572" t="s">
        <v>19</v>
      </c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71"/>
    </row>
    <row r="22" spans="1:16" ht="16" customHeight="1">
      <c r="B22" s="75" t="s">
        <v>298</v>
      </c>
      <c r="C22" s="573" t="s">
        <v>299</v>
      </c>
      <c r="D22" s="540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71"/>
    </row>
    <row r="23" spans="1:16" ht="16" customHeight="1">
      <c r="B23" s="75" t="s">
        <v>300</v>
      </c>
      <c r="C23" s="573" t="s">
        <v>301</v>
      </c>
      <c r="D23" s="540"/>
      <c r="E23" s="540"/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71"/>
    </row>
    <row r="24" spans="1:16" ht="16" customHeight="1">
      <c r="B24" s="75" t="s">
        <v>302</v>
      </c>
      <c r="C24" s="573" t="s">
        <v>303</v>
      </c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71"/>
    </row>
    <row r="25" spans="1:16" ht="16" customHeight="1">
      <c r="B25" s="75" t="s">
        <v>304</v>
      </c>
      <c r="C25" s="573" t="s">
        <v>305</v>
      </c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0"/>
      <c r="P25" s="571"/>
    </row>
    <row r="26" spans="1:16" ht="16" customHeight="1">
      <c r="B26" s="76" t="s">
        <v>306</v>
      </c>
      <c r="C26" s="573" t="s">
        <v>307</v>
      </c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85"/>
    </row>
    <row r="32" spans="1:16" ht="15" customHeight="1">
      <c r="A32" s="34"/>
      <c r="B32" s="55" t="s">
        <v>308</v>
      </c>
      <c r="C32" s="77">
        <v>0.14299999999999999</v>
      </c>
      <c r="D32" s="78">
        <v>0.17799999999999999</v>
      </c>
      <c r="E32" s="79">
        <v>0.22900000000000001</v>
      </c>
      <c r="F32" s="57">
        <v>0.183</v>
      </c>
      <c r="G32" s="55"/>
      <c r="H32" s="55"/>
      <c r="I32" s="55"/>
      <c r="J32" s="55"/>
      <c r="K32" s="55"/>
      <c r="M32" s="66" t="s">
        <v>309</v>
      </c>
      <c r="N32" s="67" t="s">
        <v>287</v>
      </c>
      <c r="O32" s="68" t="s">
        <v>310</v>
      </c>
    </row>
    <row r="33" spans="1:16" ht="14.25" customHeight="1">
      <c r="A33" s="34"/>
      <c r="B33" s="34" t="s">
        <v>258</v>
      </c>
      <c r="C33" s="34" t="s">
        <v>311</v>
      </c>
      <c r="D33" s="34" t="s">
        <v>280</v>
      </c>
      <c r="E33" s="34" t="s">
        <v>312</v>
      </c>
      <c r="F33" s="34" t="s">
        <v>313</v>
      </c>
      <c r="G33" s="34"/>
      <c r="H33" s="34"/>
      <c r="I33" s="34"/>
      <c r="J33" s="34"/>
      <c r="K33" s="34"/>
      <c r="M33" s="70" t="s">
        <v>314</v>
      </c>
      <c r="N33" s="71" t="s">
        <v>287</v>
      </c>
      <c r="O33" s="72" t="s">
        <v>222</v>
      </c>
    </row>
    <row r="34" spans="1:16" ht="14.25" customHeight="1">
      <c r="A34" s="34"/>
      <c r="B34" s="55" t="s">
        <v>45</v>
      </c>
      <c r="C34" s="55" t="s">
        <v>46</v>
      </c>
      <c r="D34" s="55" t="s">
        <v>292</v>
      </c>
      <c r="E34" s="55" t="s">
        <v>315</v>
      </c>
      <c r="F34" s="55" t="s">
        <v>316</v>
      </c>
      <c r="G34" s="55"/>
      <c r="H34" s="55"/>
      <c r="I34" s="55"/>
      <c r="J34" s="55"/>
      <c r="K34" s="55"/>
      <c r="M34" s="66" t="s">
        <v>317</v>
      </c>
      <c r="N34" s="67" t="s">
        <v>287</v>
      </c>
      <c r="O34" s="68" t="s">
        <v>318</v>
      </c>
    </row>
    <row r="35" spans="1:16" ht="14.25" customHeight="1">
      <c r="A35" s="34"/>
      <c r="B35" s="34" t="s">
        <v>49</v>
      </c>
      <c r="C35" s="34" t="s">
        <v>319</v>
      </c>
      <c r="D35" s="34" t="s">
        <v>50</v>
      </c>
      <c r="E35" s="34" t="s">
        <v>320</v>
      </c>
      <c r="F35" s="34" t="s">
        <v>321</v>
      </c>
      <c r="G35" s="34"/>
      <c r="H35" s="34"/>
      <c r="I35" s="34"/>
      <c r="J35" s="34"/>
      <c r="K35" s="34"/>
      <c r="M35" s="70" t="s">
        <v>322</v>
      </c>
      <c r="N35" s="71" t="s">
        <v>287</v>
      </c>
      <c r="O35" s="72" t="s">
        <v>323</v>
      </c>
    </row>
    <row r="36" spans="1:16" ht="14.25" customHeight="1">
      <c r="A36" s="34"/>
      <c r="B36" s="55" t="s">
        <v>324</v>
      </c>
      <c r="C36" s="55" t="s">
        <v>325</v>
      </c>
      <c r="D36" s="55" t="s">
        <v>326</v>
      </c>
      <c r="E36" s="55" t="s">
        <v>326</v>
      </c>
      <c r="F36" s="55" t="s">
        <v>327</v>
      </c>
      <c r="G36" s="55"/>
      <c r="H36" s="55"/>
      <c r="I36" s="55"/>
      <c r="J36" s="55"/>
      <c r="K36" s="55"/>
    </row>
    <row r="37" spans="1:16" ht="16.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M37" s="576" t="s">
        <v>328</v>
      </c>
      <c r="N37" s="540"/>
      <c r="O37" s="540"/>
      <c r="P37" s="540"/>
    </row>
    <row r="38" spans="1:16" ht="15.75" customHeight="1">
      <c r="A38" s="34"/>
      <c r="B38" s="50" t="s">
        <v>329</v>
      </c>
      <c r="C38" s="51"/>
      <c r="D38" s="51"/>
      <c r="E38" s="51"/>
      <c r="F38" s="51"/>
      <c r="G38" s="51"/>
      <c r="H38" s="51"/>
      <c r="I38" s="51"/>
      <c r="J38" s="51"/>
      <c r="K38" s="51"/>
    </row>
    <row r="39" spans="1:16" ht="13.5" customHeight="1">
      <c r="A39" s="34"/>
      <c r="B39" s="53" t="s">
        <v>330</v>
      </c>
      <c r="C39" s="53" t="s">
        <v>331</v>
      </c>
      <c r="D39" s="53" t="s">
        <v>332</v>
      </c>
      <c r="E39" s="53" t="s">
        <v>333</v>
      </c>
      <c r="F39" s="53" t="s">
        <v>334</v>
      </c>
      <c r="G39" s="53" t="s">
        <v>335</v>
      </c>
      <c r="H39" s="53" t="s">
        <v>336</v>
      </c>
      <c r="I39" s="53"/>
      <c r="J39" s="53"/>
      <c r="K39" s="53"/>
      <c r="M39" s="63" t="s">
        <v>177</v>
      </c>
      <c r="N39" s="63" t="s">
        <v>19</v>
      </c>
      <c r="O39" s="63" t="s">
        <v>337</v>
      </c>
      <c r="P39" s="63" t="s">
        <v>93</v>
      </c>
    </row>
    <row r="40" spans="1:16" ht="15" customHeight="1">
      <c r="A40" s="34"/>
      <c r="B40" s="59" t="s">
        <v>338</v>
      </c>
      <c r="C40" s="59" t="s">
        <v>339</v>
      </c>
      <c r="D40" s="59" t="s">
        <v>340</v>
      </c>
      <c r="E40" s="59" t="s">
        <v>341</v>
      </c>
      <c r="F40" s="59" t="s">
        <v>342</v>
      </c>
      <c r="G40" s="59" t="s">
        <v>343</v>
      </c>
      <c r="H40" s="59" t="s">
        <v>344</v>
      </c>
      <c r="I40" s="55"/>
      <c r="J40" s="55"/>
      <c r="K40" s="55"/>
      <c r="M40" s="80" t="s">
        <v>345</v>
      </c>
      <c r="N40" s="81" t="s">
        <v>95</v>
      </c>
      <c r="O40" s="82" t="s">
        <v>98</v>
      </c>
      <c r="P40" s="80" t="s">
        <v>346</v>
      </c>
    </row>
    <row r="41" spans="1:16" ht="15" customHeight="1">
      <c r="A41" s="34"/>
      <c r="B41" s="61" t="s">
        <v>347</v>
      </c>
      <c r="C41" s="61" t="s">
        <v>348</v>
      </c>
      <c r="D41" s="61" t="s">
        <v>349</v>
      </c>
      <c r="E41" s="61" t="s">
        <v>350</v>
      </c>
      <c r="F41" s="61" t="s">
        <v>351</v>
      </c>
      <c r="G41" s="61" t="s">
        <v>352</v>
      </c>
      <c r="H41" s="61" t="s">
        <v>353</v>
      </c>
      <c r="I41" s="34"/>
      <c r="J41" s="34"/>
      <c r="K41" s="34"/>
      <c r="M41" s="80" t="s">
        <v>97</v>
      </c>
      <c r="N41" s="82" t="s">
        <v>98</v>
      </c>
      <c r="O41" s="83" t="s">
        <v>78</v>
      </c>
      <c r="P41" s="80" t="s">
        <v>354</v>
      </c>
    </row>
    <row r="42" spans="1:16" ht="14.25" customHeight="1">
      <c r="A42" s="34"/>
      <c r="B42" s="55" t="s">
        <v>314</v>
      </c>
      <c r="C42" s="84">
        <v>0.4</v>
      </c>
      <c r="D42" s="84">
        <v>0.40500000000000003</v>
      </c>
      <c r="E42" s="84">
        <v>0.40400000000000003</v>
      </c>
      <c r="F42" s="84">
        <v>0.4</v>
      </c>
      <c r="G42" s="84">
        <v>0.41099999999999998</v>
      </c>
      <c r="H42" s="84">
        <v>0.42399999999999999</v>
      </c>
      <c r="I42" s="55"/>
      <c r="J42" s="55"/>
      <c r="K42" s="55"/>
      <c r="M42" s="80" t="s">
        <v>100</v>
      </c>
      <c r="N42" s="82" t="s">
        <v>98</v>
      </c>
      <c r="O42" s="83" t="s">
        <v>78</v>
      </c>
      <c r="P42" s="80" t="s">
        <v>355</v>
      </c>
    </row>
    <row r="43" spans="1:16" ht="14.25" customHeight="1">
      <c r="A43" s="34"/>
      <c r="B43" s="34" t="s">
        <v>356</v>
      </c>
      <c r="C43" s="85">
        <v>0.65</v>
      </c>
      <c r="D43" s="85">
        <v>0.7</v>
      </c>
      <c r="E43" s="85">
        <v>0.75</v>
      </c>
      <c r="F43" s="85">
        <v>0.78</v>
      </c>
      <c r="G43" s="85">
        <v>0.78</v>
      </c>
      <c r="H43" s="85">
        <v>0.78</v>
      </c>
      <c r="I43" s="34"/>
      <c r="J43" s="34"/>
      <c r="K43" s="34"/>
      <c r="M43" s="80" t="s">
        <v>102</v>
      </c>
      <c r="N43" s="82" t="s">
        <v>98</v>
      </c>
      <c r="O43" s="83" t="s">
        <v>78</v>
      </c>
      <c r="P43" s="80" t="s">
        <v>357</v>
      </c>
    </row>
    <row r="44" spans="1:16" ht="14.25" customHeight="1">
      <c r="A44" s="34"/>
      <c r="B44" s="55" t="s">
        <v>358</v>
      </c>
      <c r="C44" s="55" t="s">
        <v>359</v>
      </c>
      <c r="D44" s="55" t="s">
        <v>360</v>
      </c>
      <c r="E44" s="55" t="s">
        <v>361</v>
      </c>
      <c r="F44" s="55" t="s">
        <v>362</v>
      </c>
      <c r="G44" s="55" t="s">
        <v>363</v>
      </c>
      <c r="H44" s="55" t="s">
        <v>364</v>
      </c>
      <c r="I44" s="55"/>
      <c r="J44" s="55"/>
      <c r="K44" s="55"/>
      <c r="M44" s="80" t="s">
        <v>365</v>
      </c>
      <c r="N44" s="83" t="s">
        <v>78</v>
      </c>
      <c r="O44" s="83" t="s">
        <v>78</v>
      </c>
      <c r="P44" s="80" t="s">
        <v>366</v>
      </c>
    </row>
    <row r="45" spans="1:16" ht="15" customHeight="1">
      <c r="A45" s="34"/>
      <c r="B45" s="34" t="s">
        <v>367</v>
      </c>
      <c r="C45" s="34">
        <v>55</v>
      </c>
      <c r="D45" s="34">
        <v>55</v>
      </c>
      <c r="E45" s="34">
        <v>55</v>
      </c>
      <c r="F45" s="61">
        <v>72</v>
      </c>
      <c r="G45" s="34">
        <v>72</v>
      </c>
      <c r="H45" s="34">
        <v>72</v>
      </c>
      <c r="I45" s="34"/>
      <c r="J45" s="34"/>
      <c r="K45" s="34"/>
      <c r="M45" s="80" t="s">
        <v>368</v>
      </c>
      <c r="N45" s="83" t="s">
        <v>78</v>
      </c>
      <c r="O45" s="82" t="s">
        <v>98</v>
      </c>
      <c r="P45" s="80" t="s">
        <v>369</v>
      </c>
    </row>
    <row r="46" spans="1:16" ht="16.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6" ht="15.75" customHeight="1">
      <c r="A47" s="34"/>
      <c r="B47" s="50" t="s">
        <v>370</v>
      </c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13.5" customHeight="1">
      <c r="A48" s="34"/>
      <c r="B48" s="53"/>
      <c r="C48" s="86" t="s">
        <v>371</v>
      </c>
      <c r="D48" s="53" t="s">
        <v>372</v>
      </c>
      <c r="E48" s="53" t="s">
        <v>373</v>
      </c>
      <c r="F48" s="53" t="s">
        <v>374</v>
      </c>
      <c r="G48" s="53" t="s">
        <v>375</v>
      </c>
      <c r="H48" s="53"/>
      <c r="I48" s="53" t="s">
        <v>376</v>
      </c>
      <c r="J48" s="53"/>
      <c r="K48" s="53"/>
      <c r="M48" s="576" t="s">
        <v>377</v>
      </c>
      <c r="N48" s="540"/>
      <c r="O48" s="540"/>
      <c r="P48" s="540"/>
    </row>
    <row r="49" spans="1:16" ht="15" customHeight="1">
      <c r="A49" s="34"/>
      <c r="B49" s="55" t="s">
        <v>378</v>
      </c>
      <c r="C49" s="79">
        <v>0.157</v>
      </c>
      <c r="D49" s="84">
        <v>0.13400000000000001</v>
      </c>
      <c r="E49" s="84">
        <v>0.108</v>
      </c>
      <c r="F49" s="84">
        <v>8.7999999999999995E-2</v>
      </c>
      <c r="G49" s="84">
        <v>0.11899999999999999</v>
      </c>
      <c r="H49" s="55"/>
      <c r="I49" s="87" t="s">
        <v>379</v>
      </c>
      <c r="J49" s="55"/>
      <c r="K49" s="55"/>
    </row>
    <row r="50" spans="1:16" ht="15" customHeight="1">
      <c r="A50" s="34"/>
      <c r="B50" s="34" t="s">
        <v>380</v>
      </c>
      <c r="C50" s="61" t="s">
        <v>214</v>
      </c>
      <c r="D50" s="34" t="s">
        <v>381</v>
      </c>
      <c r="E50" s="34" t="s">
        <v>382</v>
      </c>
      <c r="F50" s="34" t="s">
        <v>383</v>
      </c>
      <c r="G50" s="34" t="s">
        <v>384</v>
      </c>
      <c r="H50" s="34"/>
      <c r="I50" s="88" t="s">
        <v>385</v>
      </c>
      <c r="J50" s="34"/>
      <c r="K50" s="34"/>
      <c r="M50" s="577" t="s">
        <v>386</v>
      </c>
      <c r="N50" s="540"/>
      <c r="O50" s="540"/>
      <c r="P50" s="540"/>
    </row>
    <row r="51" spans="1:16" ht="15" customHeight="1">
      <c r="A51" s="34"/>
      <c r="B51" s="55" t="s">
        <v>387</v>
      </c>
      <c r="C51" s="58" t="s">
        <v>278</v>
      </c>
      <c r="D51" s="55" t="s">
        <v>278</v>
      </c>
      <c r="E51" s="89" t="s">
        <v>388</v>
      </c>
      <c r="F51" s="89" t="s">
        <v>388</v>
      </c>
      <c r="G51" s="89" t="s">
        <v>388</v>
      </c>
      <c r="H51" s="55"/>
      <c r="I51" s="87" t="s">
        <v>389</v>
      </c>
      <c r="J51" s="55"/>
      <c r="K51" s="55"/>
      <c r="M51" s="578" t="s">
        <v>390</v>
      </c>
      <c r="N51" s="540"/>
      <c r="O51" s="540"/>
      <c r="P51" s="540"/>
    </row>
    <row r="52" spans="1:16" ht="15" customHeight="1">
      <c r="A52" s="34"/>
      <c r="B52" s="34" t="s">
        <v>391</v>
      </c>
      <c r="C52" s="61" t="s">
        <v>392</v>
      </c>
      <c r="D52" s="34" t="s">
        <v>393</v>
      </c>
      <c r="E52" s="34" t="s">
        <v>394</v>
      </c>
      <c r="F52" s="34" t="s">
        <v>394</v>
      </c>
      <c r="G52" s="34" t="s">
        <v>395</v>
      </c>
      <c r="H52" s="34"/>
      <c r="I52" s="34"/>
      <c r="J52" s="34"/>
      <c r="K52" s="34"/>
      <c r="M52" s="577" t="s">
        <v>396</v>
      </c>
      <c r="N52" s="540"/>
      <c r="O52" s="540"/>
      <c r="P52" s="540"/>
    </row>
    <row r="53" spans="1:16" ht="15" customHeight="1">
      <c r="A53" s="34"/>
      <c r="B53" s="90" t="s">
        <v>397</v>
      </c>
      <c r="C53" s="90" t="s">
        <v>398</v>
      </c>
      <c r="D53" s="91"/>
      <c r="E53" s="91"/>
      <c r="F53" s="91"/>
      <c r="G53" s="91"/>
      <c r="H53" s="91"/>
      <c r="I53" s="91"/>
      <c r="J53" s="91"/>
      <c r="K53" s="91"/>
      <c r="M53" s="578" t="s">
        <v>399</v>
      </c>
      <c r="N53" s="540"/>
      <c r="O53" s="540"/>
      <c r="P53" s="540"/>
    </row>
    <row r="54" spans="1:16" ht="16.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M54" s="577" t="s">
        <v>400</v>
      </c>
      <c r="N54" s="540"/>
      <c r="O54" s="540"/>
      <c r="P54" s="540"/>
    </row>
    <row r="55" spans="1:16" ht="15.75" customHeight="1">
      <c r="A55" s="34"/>
      <c r="B55" s="50" t="s">
        <v>3</v>
      </c>
      <c r="C55" s="51"/>
      <c r="D55" s="51"/>
      <c r="E55" s="51"/>
      <c r="F55" s="51"/>
      <c r="G55" s="51"/>
      <c r="H55" s="51"/>
      <c r="I55" s="51"/>
      <c r="J55" s="51"/>
      <c r="K55" s="51"/>
      <c r="M55" s="578" t="s">
        <v>401</v>
      </c>
      <c r="N55" s="540"/>
      <c r="O55" s="540"/>
      <c r="P55" s="540"/>
    </row>
    <row r="56" spans="1:16" ht="21.75" customHeight="1">
      <c r="A56" s="34"/>
      <c r="B56" s="92" t="s">
        <v>402</v>
      </c>
      <c r="C56" s="93" t="s">
        <v>403</v>
      </c>
      <c r="D56" s="36"/>
      <c r="E56" s="36"/>
      <c r="F56" s="36"/>
      <c r="G56" s="36"/>
      <c r="H56" s="36"/>
      <c r="I56" s="36"/>
      <c r="J56" s="36"/>
      <c r="K56" s="36"/>
    </row>
    <row r="57" spans="1:16" ht="14.25" customHeight="1">
      <c r="A57" s="34"/>
      <c r="B57" s="94"/>
      <c r="C57" s="95" t="s">
        <v>404</v>
      </c>
      <c r="D57" s="94"/>
      <c r="E57" s="94"/>
      <c r="F57" s="94"/>
      <c r="G57" s="94"/>
      <c r="H57" s="94"/>
      <c r="I57" s="94"/>
      <c r="J57" s="94"/>
      <c r="K57" s="94"/>
    </row>
    <row r="58" spans="1:16" ht="13.5" customHeight="1">
      <c r="A58" s="34"/>
      <c r="B58" s="96" t="s">
        <v>405</v>
      </c>
      <c r="C58" s="96"/>
      <c r="D58" s="96"/>
      <c r="E58" s="96"/>
      <c r="F58" s="96"/>
      <c r="G58" s="96" t="s">
        <v>406</v>
      </c>
      <c r="H58" s="96"/>
      <c r="I58" s="96"/>
      <c r="J58" s="96"/>
      <c r="K58" s="96"/>
    </row>
    <row r="59" spans="1:16" ht="13.5" customHeight="1">
      <c r="A59" s="34"/>
      <c r="B59" s="97" t="s">
        <v>407</v>
      </c>
      <c r="C59" s="97"/>
      <c r="D59" s="97"/>
      <c r="E59" s="97"/>
      <c r="F59" s="97"/>
      <c r="G59" s="97" t="s">
        <v>408</v>
      </c>
      <c r="H59" s="97"/>
      <c r="I59" s="97"/>
      <c r="J59" s="97"/>
      <c r="K59" s="97"/>
    </row>
    <row r="60" spans="1:16" ht="19.5" customHeight="1">
      <c r="B60" s="579" t="s">
        <v>409</v>
      </c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71"/>
    </row>
    <row r="61" spans="1:16" ht="17.25" customHeight="1">
      <c r="B61" s="580" t="s">
        <v>410</v>
      </c>
      <c r="C61" s="540"/>
      <c r="D61" s="540"/>
      <c r="E61" s="540"/>
      <c r="F61" s="540"/>
      <c r="G61" s="540"/>
      <c r="H61" s="540"/>
      <c r="I61" s="540"/>
      <c r="J61" s="540"/>
      <c r="K61" s="540"/>
      <c r="L61" s="540"/>
      <c r="M61" s="540"/>
      <c r="N61" s="540"/>
      <c r="O61" s="540"/>
      <c r="P61" s="571"/>
    </row>
    <row r="62" spans="1:16" ht="16" customHeight="1">
      <c r="B62" s="98" t="s">
        <v>411</v>
      </c>
      <c r="P62" s="73"/>
    </row>
    <row r="63" spans="1:16" ht="16" customHeight="1">
      <c r="B63" s="581" t="s">
        <v>412</v>
      </c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71"/>
    </row>
    <row r="64" spans="1:16" ht="16" customHeight="1">
      <c r="B64" s="581" t="s">
        <v>413</v>
      </c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71"/>
    </row>
    <row r="65" spans="1:16" ht="16" customHeight="1">
      <c r="B65" s="581" t="s">
        <v>414</v>
      </c>
      <c r="C65" s="540"/>
      <c r="D65" s="540"/>
      <c r="E65" s="540"/>
      <c r="F65" s="540"/>
      <c r="G65" s="540"/>
      <c r="H65" s="540"/>
      <c r="I65" s="540"/>
      <c r="J65" s="540"/>
      <c r="K65" s="540"/>
      <c r="L65" s="540"/>
      <c r="M65" s="540"/>
      <c r="N65" s="540"/>
      <c r="O65" s="540"/>
      <c r="P65" s="571"/>
    </row>
    <row r="66" spans="1:16" ht="16" customHeight="1">
      <c r="B66" s="581" t="s">
        <v>415</v>
      </c>
      <c r="C66" s="540"/>
      <c r="D66" s="540"/>
      <c r="E66" s="540"/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P66" s="571"/>
    </row>
    <row r="67" spans="1:16" ht="16" customHeight="1">
      <c r="B67" s="582" t="s">
        <v>416</v>
      </c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71"/>
    </row>
    <row r="70" spans="1:16" ht="13.5" customHeight="1">
      <c r="A70" s="34"/>
      <c r="B70" s="96" t="s">
        <v>417</v>
      </c>
      <c r="C70" s="96"/>
      <c r="D70" s="96"/>
      <c r="E70" s="96"/>
      <c r="F70" s="96"/>
      <c r="G70" s="96" t="s">
        <v>418</v>
      </c>
      <c r="H70" s="96"/>
      <c r="I70" s="96"/>
      <c r="J70" s="96"/>
      <c r="K70" s="96"/>
    </row>
    <row r="71" spans="1:16" ht="13.5" customHeight="1">
      <c r="A71" s="34"/>
      <c r="B71" s="97" t="s">
        <v>419</v>
      </c>
      <c r="C71" s="97"/>
      <c r="D71" s="97"/>
      <c r="E71" s="97"/>
      <c r="F71" s="97"/>
      <c r="G71" s="97" t="s">
        <v>420</v>
      </c>
      <c r="H71" s="97"/>
      <c r="I71" s="97"/>
      <c r="J71" s="97"/>
      <c r="K71" s="97"/>
    </row>
    <row r="72" spans="1:16" ht="19.5" customHeight="1">
      <c r="B72" s="579" t="s">
        <v>421</v>
      </c>
      <c r="C72" s="540"/>
      <c r="D72" s="540"/>
      <c r="E72" s="571"/>
      <c r="F72" s="540"/>
    </row>
    <row r="73" spans="1:16" ht="16" customHeight="1">
      <c r="B73" s="99" t="s">
        <v>16</v>
      </c>
      <c r="C73" s="100" t="s">
        <v>422</v>
      </c>
      <c r="D73" s="100" t="s">
        <v>423</v>
      </c>
      <c r="E73" s="101" t="s">
        <v>19</v>
      </c>
    </row>
    <row r="74" spans="1:16" ht="16" customHeight="1">
      <c r="B74" s="102" t="s">
        <v>20</v>
      </c>
      <c r="C74" s="103" t="s">
        <v>424</v>
      </c>
      <c r="D74" s="103" t="s">
        <v>21</v>
      </c>
      <c r="E74" s="104" t="s">
        <v>425</v>
      </c>
    </row>
    <row r="75" spans="1:16" ht="16" customHeight="1">
      <c r="B75" s="105" t="s">
        <v>23</v>
      </c>
      <c r="C75" s="106" t="s">
        <v>24</v>
      </c>
      <c r="D75" s="106" t="s">
        <v>25</v>
      </c>
      <c r="E75" s="107" t="s">
        <v>426</v>
      </c>
    </row>
    <row r="76" spans="1:16" ht="16" customHeight="1">
      <c r="B76" s="102" t="s">
        <v>427</v>
      </c>
      <c r="C76" s="103" t="s">
        <v>280</v>
      </c>
      <c r="D76" s="103" t="s">
        <v>28</v>
      </c>
      <c r="E76" s="104" t="s">
        <v>428</v>
      </c>
    </row>
    <row r="77" spans="1:16" ht="16" customHeight="1">
      <c r="B77" s="108" t="s">
        <v>30</v>
      </c>
      <c r="C77" s="109" t="s">
        <v>429</v>
      </c>
      <c r="D77" s="109" t="s">
        <v>430</v>
      </c>
      <c r="E77" s="110" t="s">
        <v>33</v>
      </c>
    </row>
    <row r="80" spans="1:16" ht="16.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</row>
    <row r="81" spans="1:26" ht="11.25" customHeight="1">
      <c r="A81" s="34"/>
      <c r="B81" s="111" t="s">
        <v>431</v>
      </c>
      <c r="C81" s="112"/>
      <c r="D81" s="112"/>
      <c r="E81" s="112"/>
      <c r="F81" s="112"/>
      <c r="G81" s="112"/>
      <c r="H81" s="112"/>
      <c r="I81" s="112"/>
      <c r="J81" s="112"/>
      <c r="K81" s="112"/>
    </row>
    <row r="82" spans="1:26" ht="20.2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</row>
    <row r="83" spans="1:26" s="113" customFormat="1" ht="20.2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s="113" customFormat="1" ht="20.2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s="113" customFormat="1" ht="20.2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s="113" customFormat="1" ht="20.2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s="113" customFormat="1" ht="19.5" customHeight="1" outlineLevel="1">
      <c r="A87" s="34"/>
      <c r="B87" s="576" t="s">
        <v>432</v>
      </c>
      <c r="C87" s="575"/>
      <c r="D87" s="575"/>
      <c r="E87" s="575"/>
      <c r="F87" s="575"/>
      <c r="G87" s="575"/>
      <c r="H87" s="575"/>
      <c r="I87" s="34"/>
      <c r="J87" s="34"/>
      <c r="K87" s="34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s="113" customFormat="1" ht="16" hidden="1" customHeight="1" outlineLevel="1">
      <c r="A88" s="34"/>
      <c r="B88" s="574" t="s">
        <v>433</v>
      </c>
      <c r="C88" s="575"/>
      <c r="D88" s="575"/>
      <c r="E88" s="575"/>
      <c r="F88" s="575"/>
      <c r="G88" s="575"/>
      <c r="H88" s="575"/>
      <c r="I88" s="34"/>
      <c r="J88" s="34"/>
      <c r="K88" s="34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s="113" customFormat="1" ht="16" hidden="1" customHeight="1" outlineLevel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s="113" customFormat="1" ht="16" hidden="1" customHeight="1" outlineLevel="1">
      <c r="A90" s="34"/>
      <c r="B90" s="114" t="s">
        <v>434</v>
      </c>
      <c r="C90" s="63" t="s">
        <v>435</v>
      </c>
      <c r="D90" s="63" t="s">
        <v>436</v>
      </c>
      <c r="E90" s="63" t="s">
        <v>437</v>
      </c>
      <c r="F90" s="63" t="s">
        <v>438</v>
      </c>
      <c r="G90" s="63" t="s">
        <v>439</v>
      </c>
      <c r="H90" s="34"/>
      <c r="I90" s="34"/>
      <c r="J90" s="34"/>
      <c r="K90" s="34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16" hidden="1" customHeight="1" outlineLevel="1">
      <c r="A91" s="34"/>
      <c r="B91" s="63" t="s">
        <v>440</v>
      </c>
      <c r="C91" s="115">
        <v>0.115</v>
      </c>
      <c r="D91" s="116">
        <v>0.128</v>
      </c>
      <c r="E91" s="116">
        <v>0.13200000000000001</v>
      </c>
      <c r="F91" s="116">
        <v>0.13600000000000001</v>
      </c>
      <c r="G91" s="116">
        <v>0.14199999999999999</v>
      </c>
      <c r="H91" s="34"/>
      <c r="I91" s="34"/>
      <c r="J91" s="34"/>
      <c r="K91" s="34"/>
    </row>
    <row r="92" spans="1:26" s="117" customFormat="1" ht="16" hidden="1" customHeight="1" outlineLevel="1">
      <c r="A92" s="34"/>
      <c r="B92" s="63" t="s">
        <v>435</v>
      </c>
      <c r="C92" s="118">
        <v>0.13800000000000001</v>
      </c>
      <c r="D92" s="118">
        <v>0.152</v>
      </c>
      <c r="E92" s="118">
        <v>0.158</v>
      </c>
      <c r="F92" s="118">
        <v>0.16399999999999998</v>
      </c>
      <c r="G92" s="118">
        <v>0.17100000000000001</v>
      </c>
      <c r="H92" s="34"/>
      <c r="I92" s="34"/>
      <c r="J92" s="34"/>
      <c r="K92" s="34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s="117" customFormat="1" ht="16" hidden="1" customHeight="1" outlineLevel="1">
      <c r="A93" s="34"/>
      <c r="B93" s="63" t="s">
        <v>437</v>
      </c>
      <c r="C93" s="118">
        <v>0.14800000000000002</v>
      </c>
      <c r="D93" s="118">
        <v>0.16200000000000001</v>
      </c>
      <c r="E93" s="119">
        <v>0.17800000000000002</v>
      </c>
      <c r="F93" s="120">
        <v>0.185</v>
      </c>
      <c r="G93" s="120">
        <v>0.192</v>
      </c>
      <c r="H93" s="34"/>
      <c r="I93" s="34"/>
      <c r="J93" s="34"/>
      <c r="K93" s="34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s="117" customFormat="1" ht="16" hidden="1" customHeight="1" outlineLevel="1">
      <c r="A94" s="34"/>
      <c r="B94" s="63" t="s">
        <v>439</v>
      </c>
      <c r="C94" s="118">
        <v>0.16500000000000001</v>
      </c>
      <c r="D94" s="118">
        <v>0.17800000000000002</v>
      </c>
      <c r="E94" s="120">
        <v>0.192</v>
      </c>
      <c r="F94" s="120">
        <v>0.20100000000000001</v>
      </c>
      <c r="G94" s="120">
        <v>0.21</v>
      </c>
      <c r="H94" s="34"/>
      <c r="I94" s="34"/>
      <c r="J94" s="34"/>
      <c r="K94" s="3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s="117" customFormat="1" ht="16" hidden="1" customHeight="1" outlineLevel="1">
      <c r="A95" s="34"/>
      <c r="B95" s="63" t="s">
        <v>441</v>
      </c>
      <c r="C95" s="120">
        <v>0.182</v>
      </c>
      <c r="D95" s="120">
        <v>0.19500000000000001</v>
      </c>
      <c r="E95" s="120">
        <v>0.21</v>
      </c>
      <c r="F95" s="120">
        <v>0.22</v>
      </c>
      <c r="G95" s="120">
        <v>0.22500000000000001</v>
      </c>
      <c r="H95" s="34"/>
      <c r="I95" s="34"/>
      <c r="J95" s="34"/>
      <c r="K95" s="34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s="117" customFormat="1" ht="16" hidden="1" customHeight="1" outlineLevel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s="117" customFormat="1" ht="16" hidden="1" customHeight="1" outlineLevel="1">
      <c r="A97" s="34"/>
      <c r="B97" s="121" t="s">
        <v>442</v>
      </c>
      <c r="C97" s="122" t="s">
        <v>443</v>
      </c>
      <c r="D97" s="123" t="s">
        <v>444</v>
      </c>
      <c r="E97" s="124" t="s">
        <v>445</v>
      </c>
      <c r="F97" s="34"/>
      <c r="G97" s="34"/>
      <c r="H97" s="34"/>
      <c r="I97" s="34"/>
      <c r="J97" s="34"/>
      <c r="K97" s="34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6" hidden="1" customHeight="1" outlineLevel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</row>
    <row r="99" spans="1:26" ht="16" hidden="1" customHeight="1" outlineLevel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</row>
    <row r="100" spans="1:26" ht="16" hidden="1" customHeight="1" outlineLevel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</row>
    <row r="101" spans="1:26" ht="16" hidden="1" customHeight="1" outlineLevel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</row>
    <row r="102" spans="1:26" ht="16" hidden="1" customHeight="1" outlineLevel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</row>
    <row r="103" spans="1:26" ht="16" hidden="1" customHeight="1" outlineLevel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</row>
    <row r="104" spans="1:26" ht="16" hidden="1" customHeight="1" outlineLevel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</row>
    <row r="105" spans="1:26" ht="16" hidden="1" customHeight="1" outlineLevel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</row>
    <row r="106" spans="1:26" ht="16" hidden="1" customHeight="1" outlineLevel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spans="1:26" ht="16" hidden="1" customHeight="1" outlineLevel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spans="1:26" ht="16" hidden="1" customHeight="1" outlineLevel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spans="1:26" ht="16" hidden="1" customHeight="1" outlineLevel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spans="1:26" ht="16" hidden="1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spans="1:26" ht="16" hidden="1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spans="1:26" ht="16" hidden="1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</row>
  </sheetData>
  <mergeCells count="30">
    <mergeCell ref="M37:P37"/>
    <mergeCell ref="B87:H87"/>
    <mergeCell ref="C23:P23"/>
    <mergeCell ref="C24:P24"/>
    <mergeCell ref="C25:P25"/>
    <mergeCell ref="C26:P26"/>
    <mergeCell ref="B88:H88"/>
    <mergeCell ref="M48:P48"/>
    <mergeCell ref="M50:P50"/>
    <mergeCell ref="M51:P51"/>
    <mergeCell ref="M52:P52"/>
    <mergeCell ref="M53:P53"/>
    <mergeCell ref="M54:P54"/>
    <mergeCell ref="M55:P55"/>
    <mergeCell ref="B60:P60"/>
    <mergeCell ref="B61:P61"/>
    <mergeCell ref="B63:P63"/>
    <mergeCell ref="B64:P64"/>
    <mergeCell ref="B65:P65"/>
    <mergeCell ref="B66:P66"/>
    <mergeCell ref="B67:P67"/>
    <mergeCell ref="B72:F72"/>
    <mergeCell ref="B1:K1"/>
    <mergeCell ref="B2:K2"/>
    <mergeCell ref="B20:P20"/>
    <mergeCell ref="C21:P21"/>
    <mergeCell ref="C22:P22"/>
    <mergeCell ref="M7:P7"/>
    <mergeCell ref="N9:O9"/>
    <mergeCell ref="N13:O13"/>
  </mergeCell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6ED1-A458-1808-43F8-B7157F582ABD}">
  <sheetPr>
    <tabColor rgb="FF1A2744"/>
  </sheetPr>
  <dimension ref="B2:H36"/>
  <sheetViews>
    <sheetView showGridLines="0" tabSelected="1" workbookViewId="0"/>
  </sheetViews>
  <sheetFormatPr baseColWidth="10" defaultColWidth="9" defaultRowHeight="16" customHeight="1"/>
  <cols>
    <col min="1" max="1" width="2.5" customWidth="1"/>
    <col min="2" max="2" width="135.83203125" customWidth="1"/>
    <col min="3" max="3" width="46.83203125" customWidth="1"/>
    <col min="4" max="4" width="13.83203125" customWidth="1"/>
    <col min="5" max="5" width="14.1640625" customWidth="1"/>
    <col min="6" max="6" width="7" customWidth="1"/>
    <col min="7" max="7" width="14" customWidth="1"/>
    <col min="8" max="8" width="14.33203125" customWidth="1"/>
  </cols>
  <sheetData>
    <row r="2" spans="2:8" ht="18" customHeight="1">
      <c r="B2" s="125" t="s">
        <v>446</v>
      </c>
      <c r="C2" s="126"/>
      <c r="D2" s="126"/>
      <c r="E2" s="126"/>
      <c r="F2" s="126"/>
      <c r="G2" s="126"/>
      <c r="H2" s="126"/>
    </row>
    <row r="3" spans="2:8" ht="16" customHeight="1">
      <c r="B3" s="127" t="s">
        <v>447</v>
      </c>
      <c r="C3" s="126"/>
      <c r="D3" s="126"/>
      <c r="E3" s="126"/>
      <c r="F3" s="126"/>
      <c r="G3" s="126"/>
      <c r="H3" s="126"/>
    </row>
    <row r="4" spans="2:8" ht="16" customHeight="1">
      <c r="B4" s="126"/>
      <c r="C4" s="126"/>
      <c r="D4" s="126"/>
      <c r="E4" s="126"/>
      <c r="F4" s="126"/>
      <c r="G4" s="126"/>
      <c r="H4" s="126"/>
    </row>
    <row r="5" spans="2:8" ht="16" customHeight="1">
      <c r="B5" s="128" t="s">
        <v>448</v>
      </c>
      <c r="C5" s="129"/>
      <c r="D5" s="129"/>
      <c r="E5" s="129"/>
      <c r="F5" s="129"/>
      <c r="G5" s="129"/>
      <c r="H5" s="129"/>
    </row>
    <row r="6" spans="2:8" ht="16" customHeight="1">
      <c r="B6" s="130" t="s">
        <v>449</v>
      </c>
      <c r="C6" s="131" t="s">
        <v>450</v>
      </c>
      <c r="D6" s="131" t="s">
        <v>451</v>
      </c>
      <c r="E6" s="131" t="s">
        <v>452</v>
      </c>
      <c r="F6" s="131" t="s">
        <v>453</v>
      </c>
      <c r="G6" s="131" t="s">
        <v>454</v>
      </c>
      <c r="H6" s="131" t="s">
        <v>455</v>
      </c>
    </row>
    <row r="7" spans="2:8" ht="16" customHeight="1">
      <c r="B7" s="132" t="s">
        <v>456</v>
      </c>
      <c r="C7" s="126" t="s">
        <v>457</v>
      </c>
      <c r="D7" s="133">
        <v>40</v>
      </c>
      <c r="E7" s="133">
        <v>50</v>
      </c>
      <c r="F7" s="134">
        <v>4500</v>
      </c>
      <c r="G7" s="135">
        <f t="shared" ref="G7:G17" si="0">D7*12*F7/100000</f>
        <v>21.6</v>
      </c>
      <c r="H7" s="135">
        <f t="shared" ref="H7:H17" si="1">E7*12*F7/100000</f>
        <v>27</v>
      </c>
    </row>
    <row r="8" spans="2:8" ht="16" customHeight="1">
      <c r="B8" s="132" t="s">
        <v>458</v>
      </c>
      <c r="C8" s="126">
        <v>150</v>
      </c>
      <c r="D8" s="133">
        <v>20</v>
      </c>
      <c r="E8" s="133">
        <v>25</v>
      </c>
      <c r="F8" s="134">
        <v>4500</v>
      </c>
      <c r="G8" s="135">
        <f t="shared" si="0"/>
        <v>10.8</v>
      </c>
      <c r="H8" s="135">
        <f t="shared" si="1"/>
        <v>13.5</v>
      </c>
    </row>
    <row r="9" spans="2:8" ht="16" customHeight="1">
      <c r="B9" s="132" t="s">
        <v>459</v>
      </c>
      <c r="C9" s="126" t="s">
        <v>460</v>
      </c>
      <c r="D9" s="133">
        <v>10</v>
      </c>
      <c r="E9" s="133">
        <v>15</v>
      </c>
      <c r="F9" s="134">
        <v>4000</v>
      </c>
      <c r="G9" s="135">
        <f t="shared" si="0"/>
        <v>4.8</v>
      </c>
      <c r="H9" s="135">
        <f t="shared" si="1"/>
        <v>7.2</v>
      </c>
    </row>
    <row r="10" spans="2:8" ht="16" customHeight="1">
      <c r="B10" s="136" t="s">
        <v>461</v>
      </c>
      <c r="C10" s="137"/>
      <c r="D10" s="137">
        <f t="shared" ref="D10:H10" si="2">SUM(D7:D9)</f>
        <v>70</v>
      </c>
      <c r="E10" s="137">
        <f t="shared" si="2"/>
        <v>90</v>
      </c>
      <c r="F10" s="137"/>
      <c r="G10" s="138">
        <f t="shared" si="2"/>
        <v>37.200000000000003</v>
      </c>
      <c r="H10" s="138">
        <f t="shared" si="2"/>
        <v>47.7</v>
      </c>
    </row>
    <row r="11" spans="2:8" ht="16" customHeight="1">
      <c r="B11" s="132"/>
      <c r="C11" s="126"/>
      <c r="D11" s="126"/>
      <c r="E11" s="126"/>
      <c r="F11" s="126"/>
      <c r="G11" s="126"/>
      <c r="H11" s="126"/>
    </row>
    <row r="12" spans="2:8" ht="16" customHeight="1">
      <c r="B12" s="139" t="s">
        <v>462</v>
      </c>
      <c r="C12" s="140"/>
      <c r="D12" s="140"/>
      <c r="E12" s="140"/>
      <c r="F12" s="140"/>
      <c r="G12" s="140"/>
      <c r="H12" s="140"/>
    </row>
    <row r="13" spans="2:8" ht="16" customHeight="1">
      <c r="B13" s="141" t="s">
        <v>463</v>
      </c>
      <c r="C13" s="142" t="s">
        <v>464</v>
      </c>
      <c r="D13" s="142" t="s">
        <v>451</v>
      </c>
      <c r="E13" s="142" t="s">
        <v>452</v>
      </c>
      <c r="F13" s="142" t="s">
        <v>453</v>
      </c>
      <c r="G13" s="142" t="s">
        <v>454</v>
      </c>
      <c r="H13" s="142" t="s">
        <v>455</v>
      </c>
    </row>
    <row r="14" spans="2:8" ht="16" customHeight="1">
      <c r="B14" s="132" t="s">
        <v>465</v>
      </c>
      <c r="C14" s="126" t="s">
        <v>466</v>
      </c>
      <c r="D14" s="133">
        <v>30</v>
      </c>
      <c r="E14" s="133">
        <v>40</v>
      </c>
      <c r="F14" s="134">
        <v>3800</v>
      </c>
      <c r="G14" s="135">
        <f t="shared" si="0"/>
        <v>13.68</v>
      </c>
      <c r="H14" s="135">
        <f t="shared" si="1"/>
        <v>18.239999999999998</v>
      </c>
    </row>
    <row r="15" spans="2:8" ht="16" customHeight="1">
      <c r="B15" s="132" t="s">
        <v>467</v>
      </c>
      <c r="C15" s="126" t="s">
        <v>468</v>
      </c>
      <c r="D15" s="133">
        <v>20</v>
      </c>
      <c r="E15" s="133">
        <v>25</v>
      </c>
      <c r="F15" s="134">
        <v>4000</v>
      </c>
      <c r="G15" s="135">
        <f t="shared" si="0"/>
        <v>9.6</v>
      </c>
      <c r="H15" s="135">
        <f t="shared" si="1"/>
        <v>12</v>
      </c>
    </row>
    <row r="16" spans="2:8" ht="16" customHeight="1">
      <c r="B16" s="132" t="s">
        <v>469</v>
      </c>
      <c r="C16" s="126" t="s">
        <v>470</v>
      </c>
      <c r="D16" s="133">
        <v>20</v>
      </c>
      <c r="E16" s="133">
        <v>30</v>
      </c>
      <c r="F16" s="134">
        <v>4200</v>
      </c>
      <c r="G16" s="135">
        <f t="shared" si="0"/>
        <v>10.08</v>
      </c>
      <c r="H16" s="135">
        <f t="shared" si="1"/>
        <v>15.12</v>
      </c>
    </row>
    <row r="17" spans="2:8" ht="16" customHeight="1">
      <c r="B17" s="132" t="s">
        <v>471</v>
      </c>
      <c r="C17" s="126" t="s">
        <v>472</v>
      </c>
      <c r="D17" s="133">
        <v>20</v>
      </c>
      <c r="E17" s="133">
        <v>27</v>
      </c>
      <c r="F17" s="134">
        <v>4000</v>
      </c>
      <c r="G17" s="135">
        <f t="shared" si="0"/>
        <v>9.6</v>
      </c>
      <c r="H17" s="135">
        <f t="shared" si="1"/>
        <v>12.96</v>
      </c>
    </row>
    <row r="18" spans="2:8" ht="16" customHeight="1">
      <c r="B18" s="136" t="s">
        <v>473</v>
      </c>
      <c r="C18" s="143"/>
      <c r="D18" s="143">
        <f t="shared" ref="D18:H18" si="3">SUM(D14:D17)</f>
        <v>90</v>
      </c>
      <c r="E18" s="143">
        <f t="shared" si="3"/>
        <v>122</v>
      </c>
      <c r="F18" s="143"/>
      <c r="G18" s="144">
        <f t="shared" si="3"/>
        <v>42.96</v>
      </c>
      <c r="H18" s="144">
        <f t="shared" si="3"/>
        <v>58.32</v>
      </c>
    </row>
    <row r="19" spans="2:8" ht="16" customHeight="1">
      <c r="B19" s="132"/>
      <c r="C19" s="126"/>
      <c r="D19" s="126"/>
      <c r="E19" s="126"/>
      <c r="F19" s="126"/>
      <c r="G19" s="126"/>
      <c r="H19" s="126"/>
    </row>
    <row r="20" spans="2:8" ht="32.25" customHeight="1">
      <c r="B20" s="145" t="s">
        <v>474</v>
      </c>
      <c r="C20" s="146"/>
      <c r="D20" s="146"/>
      <c r="E20" s="146"/>
      <c r="F20" s="126"/>
      <c r="G20" s="126"/>
      <c r="H20" s="126"/>
    </row>
    <row r="21" spans="2:8" ht="16" customHeight="1">
      <c r="B21" s="147" t="s">
        <v>16</v>
      </c>
      <c r="C21" s="148" t="s">
        <v>78</v>
      </c>
      <c r="D21" s="148" t="s">
        <v>95</v>
      </c>
      <c r="E21" s="148" t="s">
        <v>475</v>
      </c>
      <c r="F21" s="126"/>
      <c r="G21" s="126"/>
      <c r="H21" s="126"/>
    </row>
    <row r="22" spans="2:8" ht="16" customHeight="1">
      <c r="B22" s="149" t="s">
        <v>476</v>
      </c>
      <c r="C22" s="126">
        <f t="shared" ref="C22:D22" si="4">D10+D18</f>
        <v>160</v>
      </c>
      <c r="D22" s="126">
        <f t="shared" si="4"/>
        <v>212</v>
      </c>
      <c r="E22" s="126">
        <f t="shared" ref="E22:E23" si="5">(C22+D22)/2</f>
        <v>186</v>
      </c>
      <c r="F22" s="126"/>
      <c r="G22" s="126"/>
      <c r="H22" s="126"/>
    </row>
    <row r="23" spans="2:8" ht="16" customHeight="1">
      <c r="B23" s="149" t="s">
        <v>477</v>
      </c>
      <c r="C23" s="135">
        <f t="shared" ref="C23:D23" si="6">G10+G18</f>
        <v>80.16</v>
      </c>
      <c r="D23" s="135">
        <f t="shared" si="6"/>
        <v>106.02000000000001</v>
      </c>
      <c r="E23" s="135">
        <f t="shared" si="5"/>
        <v>93.09</v>
      </c>
      <c r="F23" s="126"/>
      <c r="G23" s="126"/>
      <c r="H23" s="126"/>
    </row>
    <row r="24" spans="2:8" ht="16" customHeight="1">
      <c r="B24" s="149" t="s">
        <v>478</v>
      </c>
      <c r="C24" s="150">
        <f t="shared" ref="C24:E24" si="7">C22/(55*30)</f>
        <v>9.696969696969697E-2</v>
      </c>
      <c r="D24" s="150">
        <f t="shared" si="7"/>
        <v>0.12848484848484848</v>
      </c>
      <c r="E24" s="150">
        <f t="shared" si="7"/>
        <v>0.11272727272727273</v>
      </c>
      <c r="F24" s="126"/>
      <c r="G24" s="126"/>
      <c r="H24" s="126"/>
    </row>
    <row r="25" spans="2:8" ht="16" customHeight="1">
      <c r="B25" s="149" t="s">
        <v>479</v>
      </c>
      <c r="C25" s="150">
        <f t="shared" ref="C25:E25" si="8">C22/(72*30)</f>
        <v>7.407407407407407E-2</v>
      </c>
      <c r="D25" s="150">
        <f t="shared" si="8"/>
        <v>9.8148148148148151E-2</v>
      </c>
      <c r="E25" s="150">
        <f t="shared" si="8"/>
        <v>8.611111111111111E-2</v>
      </c>
      <c r="F25" s="126"/>
      <c r="G25" s="126"/>
      <c r="H25" s="126"/>
    </row>
    <row r="26" spans="2:8" ht="16" customHeight="1">
      <c r="B26" s="132"/>
      <c r="C26" s="126"/>
      <c r="D26" s="126"/>
      <c r="E26" s="126"/>
      <c r="F26" s="126"/>
      <c r="G26" s="126"/>
      <c r="H26" s="126"/>
    </row>
    <row r="27" spans="2:8" ht="32.25" customHeight="1">
      <c r="B27" s="151" t="s">
        <v>480</v>
      </c>
      <c r="C27" s="152"/>
      <c r="D27" s="152"/>
      <c r="E27" s="126"/>
      <c r="F27" s="126"/>
      <c r="G27" s="126"/>
      <c r="H27" s="126"/>
    </row>
    <row r="28" spans="2:8" ht="16" customHeight="1">
      <c r="B28" s="153" t="s">
        <v>481</v>
      </c>
      <c r="C28" s="126" t="s">
        <v>482</v>
      </c>
      <c r="D28" s="126"/>
      <c r="E28" s="126"/>
      <c r="F28" s="126"/>
      <c r="G28" s="126"/>
      <c r="H28" s="126"/>
    </row>
    <row r="29" spans="2:8" ht="16" customHeight="1">
      <c r="B29" s="153" t="s">
        <v>483</v>
      </c>
      <c r="C29" s="126" t="s">
        <v>484</v>
      </c>
      <c r="D29" s="126"/>
      <c r="E29" s="126"/>
      <c r="F29" s="126"/>
      <c r="G29" s="126"/>
      <c r="H29" s="126"/>
    </row>
    <row r="30" spans="2:8" ht="16" customHeight="1">
      <c r="B30" s="153" t="s">
        <v>485</v>
      </c>
      <c r="C30" s="126" t="s">
        <v>486</v>
      </c>
      <c r="D30" s="126"/>
      <c r="E30" s="126"/>
      <c r="F30" s="126"/>
      <c r="G30" s="126"/>
      <c r="H30" s="126"/>
    </row>
    <row r="31" spans="2:8" ht="16" customHeight="1">
      <c r="B31" s="154" t="s">
        <v>487</v>
      </c>
      <c r="C31" s="126" t="s">
        <v>488</v>
      </c>
      <c r="D31" s="126"/>
      <c r="E31" s="126"/>
      <c r="F31" s="126"/>
      <c r="G31" s="126"/>
      <c r="H31" s="126"/>
    </row>
    <row r="32" spans="2:8" ht="16" customHeight="1">
      <c r="B32" s="154" t="s">
        <v>489</v>
      </c>
      <c r="C32" s="126" t="s">
        <v>490</v>
      </c>
      <c r="D32" s="126"/>
      <c r="E32" s="126"/>
      <c r="F32" s="126"/>
      <c r="G32" s="126"/>
      <c r="H32" s="126"/>
    </row>
    <row r="33" spans="2:8" ht="16" customHeight="1">
      <c r="B33" s="154" t="s">
        <v>491</v>
      </c>
      <c r="C33" s="126" t="s">
        <v>492</v>
      </c>
      <c r="D33" s="126"/>
      <c r="E33" s="126"/>
      <c r="F33" s="126"/>
      <c r="G33" s="126"/>
      <c r="H33" s="126"/>
    </row>
    <row r="34" spans="2:8" ht="16" customHeight="1">
      <c r="B34" s="126"/>
      <c r="C34" s="126"/>
      <c r="D34" s="126"/>
      <c r="E34" s="126"/>
      <c r="F34" s="126"/>
      <c r="G34" s="126"/>
      <c r="H34" s="126"/>
    </row>
    <row r="35" spans="2:8" ht="16" customHeight="1">
      <c r="B35" s="155" t="s">
        <v>493</v>
      </c>
      <c r="C35" s="126"/>
      <c r="D35" s="126"/>
      <c r="E35" s="126"/>
      <c r="F35" s="126"/>
      <c r="G35" s="126"/>
      <c r="H35" s="126"/>
    </row>
    <row r="36" spans="2:8" ht="16" customHeight="1">
      <c r="B36" s="156" t="s">
        <v>494</v>
      </c>
      <c r="C36" s="126"/>
      <c r="D36" s="126"/>
      <c r="E36" s="126"/>
      <c r="F36" s="126"/>
      <c r="G36" s="126"/>
      <c r="H36" s="126"/>
    </row>
  </sheetData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A078-84FC-F558-2098-AC1449E82878}">
  <sheetPr>
    <tabColor rgb="FF2E6B8A"/>
  </sheetPr>
  <dimension ref="A1:Z222"/>
  <sheetViews>
    <sheetView showGridLines="0" workbookViewId="0">
      <pane ySplit="5" topLeftCell="A110" activePane="bottomLeft" state="frozen"/>
      <selection pane="bottomLeft"/>
    </sheetView>
  </sheetViews>
  <sheetFormatPr baseColWidth="10" defaultColWidth="9" defaultRowHeight="16" customHeight="1"/>
  <cols>
    <col min="1" max="1" width="2.5" customWidth="1"/>
    <col min="2" max="2" width="87.5" customWidth="1"/>
    <col min="3" max="3" width="17.33203125" customWidth="1"/>
    <col min="4" max="4" width="35" customWidth="1"/>
    <col min="5" max="5" width="62.5" customWidth="1"/>
    <col min="6" max="6" width="42.6640625" customWidth="1"/>
    <col min="7" max="7" width="14.33203125" customWidth="1"/>
    <col min="8" max="8" width="32.83203125" customWidth="1"/>
    <col min="9" max="10" width="16.6640625" customWidth="1"/>
  </cols>
  <sheetData>
    <row r="1" spans="1:26" ht="22.5" customHeight="1">
      <c r="B1" s="596" t="s">
        <v>495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</row>
    <row r="2" spans="1:26" ht="15" customHeight="1">
      <c r="B2" s="569" t="s">
        <v>496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3" spans="1:26" ht="16" customHeight="1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18" customHeight="1">
      <c r="A4" s="126"/>
      <c r="B4" s="125" t="s">
        <v>497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16" customHeight="1">
      <c r="A5" s="126"/>
      <c r="B5" s="127" t="s">
        <v>498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17.25" customHeight="1">
      <c r="A6" s="126"/>
      <c r="B6" s="157"/>
      <c r="C6" s="157"/>
      <c r="D6" s="157"/>
      <c r="E6" s="157"/>
      <c r="F6" s="157"/>
      <c r="G6" s="157"/>
      <c r="H6" s="157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16" customHeight="1">
      <c r="A7" s="126"/>
      <c r="B7" s="132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16" customHeight="1">
      <c r="A8" s="126"/>
      <c r="B8" s="592" t="s">
        <v>499</v>
      </c>
      <c r="C8" s="593"/>
      <c r="D8" s="593"/>
      <c r="E8" s="593"/>
      <c r="F8" s="594"/>
      <c r="G8" s="595"/>
      <c r="H8" s="595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16" customHeight="1">
      <c r="A9" s="126"/>
      <c r="B9" s="159" t="s">
        <v>500</v>
      </c>
      <c r="C9" s="160" t="s">
        <v>282</v>
      </c>
      <c r="D9" s="160" t="s">
        <v>501</v>
      </c>
      <c r="E9" s="160" t="s">
        <v>502</v>
      </c>
      <c r="F9" s="131" t="s">
        <v>503</v>
      </c>
      <c r="G9" s="131" t="s">
        <v>504</v>
      </c>
      <c r="H9" s="131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18.75" customHeight="1">
      <c r="A10" s="126"/>
      <c r="B10" s="132" t="s">
        <v>505</v>
      </c>
      <c r="C10" s="161">
        <v>55</v>
      </c>
      <c r="D10" s="126" t="s">
        <v>506</v>
      </c>
      <c r="E10" s="126" t="s">
        <v>507</v>
      </c>
      <c r="F10" s="162" t="s">
        <v>508</v>
      </c>
      <c r="G10" s="163" t="s">
        <v>437</v>
      </c>
      <c r="H10" s="164" t="s">
        <v>509</v>
      </c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18.75" customHeight="1">
      <c r="A11" s="126"/>
      <c r="B11" s="132" t="s">
        <v>510</v>
      </c>
      <c r="C11" s="161">
        <v>17</v>
      </c>
      <c r="D11" s="126" t="s">
        <v>506</v>
      </c>
      <c r="E11" s="126" t="s">
        <v>511</v>
      </c>
      <c r="F11" s="162" t="s">
        <v>512</v>
      </c>
      <c r="G11" s="163" t="s">
        <v>513</v>
      </c>
      <c r="H11" s="164" t="s">
        <v>514</v>
      </c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16" customHeight="1">
      <c r="A12" s="126"/>
      <c r="B12" s="132" t="s">
        <v>515</v>
      </c>
      <c r="C12" s="126">
        <f t="shared" ref="C12:C15" si="0">C10+C11</f>
        <v>72</v>
      </c>
      <c r="D12" s="126" t="s">
        <v>506</v>
      </c>
      <c r="E12" s="126" t="s">
        <v>516</v>
      </c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16" customHeight="1">
      <c r="A13" s="126"/>
      <c r="B13" s="132" t="s">
        <v>517</v>
      </c>
      <c r="C13" s="161">
        <v>35.700000000000003</v>
      </c>
      <c r="D13" s="126" t="s">
        <v>330</v>
      </c>
      <c r="E13" s="126" t="s">
        <v>518</v>
      </c>
      <c r="F13" s="165" t="s">
        <v>519</v>
      </c>
      <c r="G13" s="166"/>
      <c r="H13" s="166"/>
      <c r="I13" s="166"/>
      <c r="J13" s="16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16" customHeight="1">
      <c r="A14" s="126"/>
      <c r="B14" s="132" t="s">
        <v>520</v>
      </c>
      <c r="C14" s="161">
        <v>7.3</v>
      </c>
      <c r="D14" s="126" t="s">
        <v>330</v>
      </c>
      <c r="E14" s="126" t="s">
        <v>521</v>
      </c>
      <c r="F14" s="142" t="s">
        <v>500</v>
      </c>
      <c r="G14" s="142" t="s">
        <v>522</v>
      </c>
      <c r="H14" s="142" t="s">
        <v>437</v>
      </c>
      <c r="I14" s="142" t="s">
        <v>523</v>
      </c>
      <c r="J14" s="167" t="s">
        <v>524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16" customHeight="1">
      <c r="A15" s="126"/>
      <c r="B15" s="132" t="s">
        <v>36</v>
      </c>
      <c r="C15" s="126">
        <f t="shared" si="0"/>
        <v>43</v>
      </c>
      <c r="D15" s="126" t="s">
        <v>330</v>
      </c>
      <c r="E15" s="126" t="s">
        <v>516</v>
      </c>
      <c r="F15" s="126" t="s">
        <v>525</v>
      </c>
      <c r="G15" s="150">
        <v>0.63</v>
      </c>
      <c r="H15" s="150">
        <v>0.78</v>
      </c>
      <c r="I15" s="150">
        <v>0.82</v>
      </c>
      <c r="J15" s="168">
        <f>IF(G10="Bear",G15,IF(G10="Bull",I15,H15))</f>
        <v>0.78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16" customHeight="1">
      <c r="A16" s="126"/>
      <c r="B16" s="132" t="s">
        <v>526</v>
      </c>
      <c r="C16" s="126" t="s">
        <v>527</v>
      </c>
      <c r="D16" s="126"/>
      <c r="E16" s="126" t="s">
        <v>528</v>
      </c>
      <c r="F16" s="126" t="s">
        <v>529</v>
      </c>
      <c r="G16" s="169">
        <v>4500</v>
      </c>
      <c r="H16" s="169">
        <v>5000</v>
      </c>
      <c r="I16" s="169">
        <v>6000</v>
      </c>
      <c r="J16" s="170">
        <f>IF(G10="Bear",G16,IF(G10="Bull",I16,H16))</f>
        <v>5000</v>
      </c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16" customHeight="1">
      <c r="A17" s="126"/>
      <c r="B17" s="132" t="s">
        <v>530</v>
      </c>
      <c r="C17" s="126" t="s">
        <v>531</v>
      </c>
      <c r="D17" s="126"/>
      <c r="E17" s="126" t="s">
        <v>532</v>
      </c>
      <c r="F17" s="126" t="s">
        <v>314</v>
      </c>
      <c r="G17" s="150">
        <v>0.36</v>
      </c>
      <c r="H17" s="150">
        <v>0.40400000000000003</v>
      </c>
      <c r="I17" s="150">
        <v>0.42</v>
      </c>
      <c r="J17" s="168">
        <f>IF(G10="Bear",G17,IF(G10="Bull",I17,H17))</f>
        <v>0.40400000000000003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16" customHeight="1">
      <c r="A18" s="126"/>
      <c r="B18" s="132" t="s">
        <v>533</v>
      </c>
      <c r="C18" s="126" t="s">
        <v>534</v>
      </c>
      <c r="D18" s="126"/>
      <c r="E18" s="126" t="s">
        <v>535</v>
      </c>
      <c r="F18" s="126" t="s">
        <v>536</v>
      </c>
      <c r="G18" s="150">
        <v>0.6</v>
      </c>
      <c r="H18" s="150">
        <v>1</v>
      </c>
      <c r="I18" s="150">
        <v>1.2</v>
      </c>
      <c r="J18" s="168">
        <f>IF(G10="Bear",G18,IF(G10="Bull",I18,H18))</f>
        <v>1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16" customHeight="1">
      <c r="A19" s="126"/>
      <c r="B19" s="132" t="s">
        <v>537</v>
      </c>
      <c r="C19" s="126" t="s">
        <v>538</v>
      </c>
      <c r="D19" s="126"/>
      <c r="E19" s="126" t="s">
        <v>539</v>
      </c>
      <c r="F19" s="126" t="s">
        <v>324</v>
      </c>
      <c r="G19" s="126" t="s">
        <v>325</v>
      </c>
      <c r="H19" s="126" t="s">
        <v>326</v>
      </c>
      <c r="I19" s="126" t="s">
        <v>326</v>
      </c>
      <c r="J19" s="167" t="str">
        <f>IF(G10="Bear",G19,IF(G10="Bull",I19,H19))</f>
        <v>Yes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16" customHeight="1">
      <c r="A20" s="126"/>
      <c r="B20" s="132" t="s">
        <v>540</v>
      </c>
      <c r="C20" s="126" t="s">
        <v>541</v>
      </c>
      <c r="D20" s="126"/>
      <c r="E20" s="126" t="s">
        <v>542</v>
      </c>
      <c r="F20" s="126" t="s">
        <v>378</v>
      </c>
      <c r="G20" s="150">
        <v>0.14299999999999999</v>
      </c>
      <c r="H20" s="150">
        <v>0.17799999999999999</v>
      </c>
      <c r="I20" s="150">
        <v>0.22900000000000001</v>
      </c>
      <c r="J20" s="168">
        <f>IF(G10="Bear",G20,IF(G10="Bull",I20,H20))</f>
        <v>0.17799999999999999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16" customHeight="1">
      <c r="A21" s="126"/>
      <c r="B21" s="132" t="s">
        <v>543</v>
      </c>
      <c r="C21" s="126" t="s">
        <v>544</v>
      </c>
      <c r="D21" s="126"/>
      <c r="E21" s="126" t="s">
        <v>545</v>
      </c>
      <c r="F21" s="126" t="s">
        <v>546</v>
      </c>
      <c r="G21" s="135">
        <v>7.1</v>
      </c>
      <c r="H21" s="135">
        <v>15.9</v>
      </c>
      <c r="I21" s="135">
        <v>27.8</v>
      </c>
      <c r="J21" s="171">
        <f>IF(G10="Bear",G21,IF(G10="Bull",I21,H21))</f>
        <v>15.9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16" customHeight="1">
      <c r="A22" s="126"/>
      <c r="B22" s="132"/>
      <c r="C22" s="126"/>
      <c r="D22" s="126"/>
      <c r="E22" s="126"/>
      <c r="F22" s="126" t="s">
        <v>547</v>
      </c>
      <c r="G22" s="172">
        <v>9.1999999999999993</v>
      </c>
      <c r="H22" s="172">
        <v>7.8</v>
      </c>
      <c r="I22" s="172">
        <v>6.4</v>
      </c>
      <c r="J22" s="173">
        <f>IF(G10="Bear",G22,IF(G10="Bull",I22,H22))</f>
        <v>7.8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spans="1:26" ht="17.25" customHeight="1">
      <c r="A23" s="126"/>
      <c r="B23" s="174" t="s">
        <v>548</v>
      </c>
      <c r="C23" s="140"/>
      <c r="D23" s="140"/>
      <c r="E23" s="140"/>
      <c r="F23" s="140" t="s">
        <v>49</v>
      </c>
      <c r="G23" s="175">
        <v>2.1</v>
      </c>
      <c r="H23" s="175">
        <v>2.71</v>
      </c>
      <c r="I23" s="176">
        <v>3.4</v>
      </c>
      <c r="J23" s="177">
        <f>IF(G10="Bear",G23,IF(G10="Bull",I23,H23))</f>
        <v>2.71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32.25" customHeight="1">
      <c r="A24" s="126"/>
      <c r="B24" s="178" t="s">
        <v>549</v>
      </c>
      <c r="C24" s="126"/>
      <c r="D24" s="126"/>
      <c r="E24" s="126"/>
      <c r="F24" s="126" t="s">
        <v>550</v>
      </c>
      <c r="G24" s="135">
        <v>4.8</v>
      </c>
      <c r="H24" s="135">
        <v>8.2100000000000009</v>
      </c>
      <c r="I24" s="135">
        <v>11.2</v>
      </c>
      <c r="J24" s="171">
        <f>IF(G10="Bear",G24,IF(G10="Bull",I24,H24))</f>
        <v>8.2100000000000009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16" customHeight="1">
      <c r="A25" s="126"/>
      <c r="B25" s="141"/>
      <c r="C25" s="142" t="s">
        <v>331</v>
      </c>
      <c r="D25" s="142" t="s">
        <v>332</v>
      </c>
      <c r="E25" s="142" t="s">
        <v>333</v>
      </c>
      <c r="F25" s="142" t="s">
        <v>551</v>
      </c>
      <c r="G25" s="179">
        <v>57.6</v>
      </c>
      <c r="H25" s="179">
        <v>98.5</v>
      </c>
      <c r="I25" s="179">
        <v>134.4</v>
      </c>
      <c r="J25" s="171">
        <f>IF(G10="Bear",G25,IF(G10="Bull",I25,H25))</f>
        <v>98.5</v>
      </c>
      <c r="K25" s="142" t="s">
        <v>552</v>
      </c>
      <c r="L25" s="142" t="s">
        <v>336</v>
      </c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16" customHeight="1">
      <c r="A26" s="126"/>
      <c r="B26" s="149" t="s">
        <v>553</v>
      </c>
      <c r="C26" s="180">
        <v>0.4</v>
      </c>
      <c r="D26" s="180">
        <v>0.6</v>
      </c>
      <c r="E26" s="181">
        <v>0.75</v>
      </c>
      <c r="F26" s="181">
        <v>0.77</v>
      </c>
      <c r="G26" s="181">
        <v>0.78</v>
      </c>
      <c r="H26" s="181">
        <v>0.78</v>
      </c>
      <c r="I26" s="181">
        <v>0.78</v>
      </c>
      <c r="J26" s="181">
        <v>0.78</v>
      </c>
      <c r="K26" s="181">
        <v>0.78</v>
      </c>
      <c r="L26" s="181">
        <v>0.78</v>
      </c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17.25" customHeight="1">
      <c r="F27" s="597" t="s">
        <v>554</v>
      </c>
      <c r="G27" s="540"/>
      <c r="H27" s="540"/>
      <c r="I27" s="540"/>
    </row>
    <row r="29" spans="1:26" ht="16" customHeight="1">
      <c r="F29" t="s">
        <v>555</v>
      </c>
      <c r="G29" s="182">
        <v>0.12</v>
      </c>
      <c r="H29" s="183" t="s">
        <v>556</v>
      </c>
    </row>
    <row r="30" spans="1:26" ht="16" customHeight="1">
      <c r="F30" t="s">
        <v>557</v>
      </c>
      <c r="G30" s="182" cm="1">
        <f t="array" ref="G30">'15. WACC Calculation'!C52</f>
        <v>0.18406729697759247</v>
      </c>
      <c r="H30" t="s">
        <v>558</v>
      </c>
    </row>
    <row r="32" spans="1:26" ht="16" customHeight="1">
      <c r="F32" s="184" t="s">
        <v>559</v>
      </c>
    </row>
    <row r="33" spans="1:26" ht="16" customHeight="1">
      <c r="F33" t="s">
        <v>560</v>
      </c>
      <c r="G33" s="182">
        <v>0.16</v>
      </c>
      <c r="H33" t="s">
        <v>561</v>
      </c>
    </row>
    <row r="34" spans="1:26" ht="16" customHeight="1">
      <c r="F34" t="s">
        <v>562</v>
      </c>
      <c r="G34" s="185">
        <v>0.17499999999999999</v>
      </c>
      <c r="H34" t="s">
        <v>563</v>
      </c>
    </row>
    <row r="35" spans="1:26" ht="16" customHeight="1">
      <c r="F35" t="s">
        <v>564</v>
      </c>
      <c r="G35" s="182" cm="1">
        <f t="array" ref="G35">'15. WACC Calculation'!C52</f>
        <v>0.18406729697759247</v>
      </c>
      <c r="H35" t="s">
        <v>565</v>
      </c>
    </row>
    <row r="37" spans="1:26" ht="19.5" customHeight="1">
      <c r="F37" s="186" t="s">
        <v>566</v>
      </c>
      <c r="G37" s="187" cm="1">
        <f t="array" ref="G37">G34</f>
        <v>0.17499999999999999</v>
      </c>
    </row>
    <row r="38" spans="1:26" ht="15" customHeight="1">
      <c r="F38" s="598" t="s">
        <v>567</v>
      </c>
      <c r="G38" s="540"/>
      <c r="H38" s="540"/>
    </row>
    <row r="39" spans="1:26" ht="16" customHeight="1">
      <c r="A39" s="126"/>
      <c r="B39" s="149" t="s">
        <v>453</v>
      </c>
      <c r="C39" s="134">
        <v>3800</v>
      </c>
      <c r="D39" s="134">
        <v>4200</v>
      </c>
      <c r="E39" s="134">
        <v>4500</v>
      </c>
      <c r="F39" s="188" t="s">
        <v>568</v>
      </c>
      <c r="G39" s="189">
        <v>5000</v>
      </c>
      <c r="H39" s="190">
        <v>5250</v>
      </c>
      <c r="I39" s="190">
        <v>5513</v>
      </c>
      <c r="J39" s="190">
        <v>5788</v>
      </c>
      <c r="K39" s="169">
        <v>6078</v>
      </c>
      <c r="L39" s="169">
        <v>6381</v>
      </c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16" customHeight="1">
      <c r="A40" s="126"/>
      <c r="B40" s="149" t="s">
        <v>569</v>
      </c>
      <c r="C40" s="126"/>
      <c r="D40" s="150">
        <v>0.105</v>
      </c>
      <c r="E40" s="150">
        <v>7.0999999999999994E-2</v>
      </c>
      <c r="F40" s="191" t="s">
        <v>570</v>
      </c>
      <c r="G40" s="191" t="s">
        <v>571</v>
      </c>
      <c r="H40" s="191" t="s">
        <v>209</v>
      </c>
      <c r="I40" s="191" t="s">
        <v>210</v>
      </c>
      <c r="J40" s="191"/>
      <c r="K40" s="150">
        <v>0.05</v>
      </c>
      <c r="L40" s="150">
        <v>0.05</v>
      </c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16" customHeight="1">
      <c r="A41" s="126"/>
      <c r="B41" s="149" t="s">
        <v>572</v>
      </c>
      <c r="C41" s="169">
        <f t="shared" ref="C41:L41" si="1">C26*C39</f>
        <v>1520</v>
      </c>
      <c r="D41" s="169">
        <f t="shared" si="1"/>
        <v>2520</v>
      </c>
      <c r="E41" s="169">
        <f t="shared" si="1"/>
        <v>3375</v>
      </c>
      <c r="F41" s="192" t="s">
        <v>573</v>
      </c>
      <c r="G41" s="169">
        <v>72</v>
      </c>
      <c r="H41" s="169">
        <f>C12</f>
        <v>72</v>
      </c>
      <c r="I41" s="169" t="str">
        <f>IF(H41=72,"✓ PASS","✗ FAIL")</f>
        <v>✓ PASS</v>
      </c>
      <c r="J41" s="169"/>
      <c r="K41" s="169">
        <f t="shared" si="1"/>
        <v>4740.84</v>
      </c>
      <c r="L41" s="169">
        <f t="shared" si="1"/>
        <v>4977.18</v>
      </c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3" spans="1:26" ht="16" customHeight="1">
      <c r="B43" s="586" t="s">
        <v>575</v>
      </c>
      <c r="C43" s="540"/>
      <c r="D43" s="540"/>
      <c r="E43" s="540"/>
      <c r="F43" s="540"/>
    </row>
    <row r="44" spans="1:26" ht="16" customHeight="1">
      <c r="B44" s="193" t="s">
        <v>107</v>
      </c>
      <c r="C44" s="193" t="s">
        <v>331</v>
      </c>
      <c r="D44" s="193" t="s">
        <v>332</v>
      </c>
      <c r="E44" s="193" t="s">
        <v>576</v>
      </c>
      <c r="F44" s="193" t="s">
        <v>577</v>
      </c>
    </row>
    <row r="45" spans="1:26" ht="16" customHeight="1">
      <c r="B45" t="s">
        <v>578</v>
      </c>
      <c r="C45" s="182">
        <v>0.7</v>
      </c>
      <c r="D45" s="182">
        <v>0.85</v>
      </c>
      <c r="E45" s="182">
        <v>1</v>
      </c>
      <c r="F45" t="s">
        <v>579</v>
      </c>
    </row>
    <row r="46" spans="1:26" ht="16" customHeight="1">
      <c r="B46" t="s">
        <v>580</v>
      </c>
      <c r="C46" s="182">
        <v>0.6</v>
      </c>
      <c r="D46" s="182">
        <v>0.75</v>
      </c>
      <c r="E46" s="182">
        <v>0.85</v>
      </c>
      <c r="F46" t="s">
        <v>581</v>
      </c>
    </row>
    <row r="47" spans="1:26" ht="16" customHeight="1">
      <c r="B47" t="s">
        <v>582</v>
      </c>
      <c r="C47" s="182">
        <v>0.85</v>
      </c>
      <c r="D47" s="182">
        <v>0.95</v>
      </c>
      <c r="E47" s="182">
        <v>1.2</v>
      </c>
      <c r="F47" t="s">
        <v>583</v>
      </c>
    </row>
    <row r="48" spans="1:26" ht="15" customHeight="1">
      <c r="B48" s="587" t="s">
        <v>584</v>
      </c>
      <c r="C48" s="540"/>
      <c r="D48" s="540"/>
      <c r="E48" s="540"/>
      <c r="F48" s="540"/>
    </row>
    <row r="50" spans="1:26" ht="16" customHeight="1">
      <c r="A50" s="126"/>
      <c r="B50" s="132"/>
      <c r="C50" s="126"/>
      <c r="D50" s="126"/>
      <c r="E50" s="126"/>
      <c r="F50" s="132" t="s">
        <v>585</v>
      </c>
      <c r="G50" s="126">
        <v>43</v>
      </c>
      <c r="H50" s="126">
        <f>C15</f>
        <v>43</v>
      </c>
      <c r="I50" s="126" t="str">
        <f>IF(H50=43,"✓ PASS","✗ FAIL")</f>
        <v>✓ PASS</v>
      </c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16" customHeight="1">
      <c r="A51" s="126"/>
      <c r="B51" s="178" t="s">
        <v>586</v>
      </c>
      <c r="C51" s="126"/>
      <c r="D51" s="126"/>
      <c r="E51" s="126"/>
      <c r="F51" s="132" t="s">
        <v>587</v>
      </c>
      <c r="G51" s="194">
        <v>1</v>
      </c>
      <c r="H51" s="194">
        <f>C58</f>
        <v>1</v>
      </c>
      <c r="I51" s="126" t="str">
        <f t="shared" ref="I51:I52" si="2">IF(H51=1,"✓ PASS","✗ FAIL")</f>
        <v>✓ PASS</v>
      </c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16" customHeight="1">
      <c r="A52" s="126"/>
      <c r="B52" s="141" t="s">
        <v>588</v>
      </c>
      <c r="C52" s="142" t="s">
        <v>589</v>
      </c>
      <c r="D52" s="142" t="s">
        <v>590</v>
      </c>
      <c r="E52" s="126"/>
      <c r="F52" s="132" t="s">
        <v>591</v>
      </c>
      <c r="G52" s="194">
        <v>1</v>
      </c>
      <c r="H52" s="194">
        <f>C70</f>
        <v>1</v>
      </c>
      <c r="I52" s="126" t="str">
        <f t="shared" si="2"/>
        <v>✓ PASS</v>
      </c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16" customHeight="1">
      <c r="A53" s="126"/>
      <c r="B53" s="132" t="s">
        <v>592</v>
      </c>
      <c r="C53" s="195">
        <v>0.28000000000000003</v>
      </c>
      <c r="D53" s="126" t="s">
        <v>593</v>
      </c>
      <c r="E53" s="126"/>
      <c r="F53" s="132" t="s">
        <v>594</v>
      </c>
      <c r="G53" s="126">
        <v>35.700000000000003</v>
      </c>
      <c r="H53" s="126">
        <f>'4. CAPEX &amp; Phasing'!C14</f>
        <v>35.699999999999996</v>
      </c>
      <c r="I53" s="126" t="str">
        <f>IF(H53=35.7,"✓ PASS","✗ FAIL")</f>
        <v>✓ PASS</v>
      </c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16" customHeight="1">
      <c r="A54" s="126"/>
      <c r="B54" s="132" t="s">
        <v>595</v>
      </c>
      <c r="C54" s="195">
        <v>0.35</v>
      </c>
      <c r="D54" s="126" t="s">
        <v>596</v>
      </c>
      <c r="E54" s="126"/>
      <c r="F54" s="132" t="s">
        <v>597</v>
      </c>
      <c r="G54" s="126">
        <v>7.3</v>
      </c>
      <c r="H54" s="126">
        <f>'4. CAPEX &amp; Phasing'!C24</f>
        <v>7.3</v>
      </c>
      <c r="I54" s="126" t="str">
        <f>IF(H54=7.3,"✓ PASS","✗ FAIL")</f>
        <v>✓ PASS</v>
      </c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16" customHeight="1">
      <c r="A55" s="126"/>
      <c r="B55" s="132" t="s">
        <v>598</v>
      </c>
      <c r="C55" s="195">
        <v>0.22</v>
      </c>
      <c r="D55" s="126" t="s">
        <v>599</v>
      </c>
      <c r="E55" s="126"/>
      <c r="F55" s="132" t="s">
        <v>600</v>
      </c>
      <c r="G55" s="126" t="s">
        <v>601</v>
      </c>
      <c r="H55" s="150">
        <f>'10. Returns Analysis'!C13</f>
        <v>0.17603612066893515</v>
      </c>
      <c r="I55" s="126" t="str">
        <f t="shared" ref="I55:I56" si="3">IF(H55&gt;0.12,"✓ PASS","✗ FAIL")</f>
        <v>✓ PASS</v>
      </c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16" customHeight="1">
      <c r="A56" s="126"/>
      <c r="B56" s="132" t="s">
        <v>602</v>
      </c>
      <c r="C56" s="195">
        <v>0.08</v>
      </c>
      <c r="D56" s="126" t="s">
        <v>603</v>
      </c>
      <c r="E56" s="126"/>
      <c r="F56" s="132" t="s">
        <v>604</v>
      </c>
      <c r="G56" s="126" t="s">
        <v>601</v>
      </c>
      <c r="H56" s="150">
        <f>'10. Returns Analysis'!C29</f>
        <v>0.17797788121405933</v>
      </c>
      <c r="I56" s="126" t="str">
        <f t="shared" si="3"/>
        <v>✓ PASS</v>
      </c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16" customHeight="1">
      <c r="A57" s="126"/>
      <c r="B57" s="132" t="s">
        <v>605</v>
      </c>
      <c r="C57" s="195">
        <v>7.0000000000000007E-2</v>
      </c>
      <c r="D57" s="126" t="s">
        <v>606</v>
      </c>
      <c r="E57" s="126"/>
      <c r="F57" s="149" t="s">
        <v>607</v>
      </c>
      <c r="G57" s="126"/>
      <c r="H57" s="126"/>
      <c r="I57" s="162" t="str">
        <f>IF(COUNTIF(I41:I56,"✗ FAIL")=0,"✓ ALL CHECKS PASS","✗ "&amp;COUNTIF(I41:I56,"✗ FAIL")&amp;" CHECK(S) FAILED")</f>
        <v>✓ ALL CHECKS PASS</v>
      </c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16" customHeight="1">
      <c r="A58" s="126"/>
      <c r="B58" s="149" t="s">
        <v>608</v>
      </c>
      <c r="C58" s="194">
        <f>SUM(C53:C57)</f>
        <v>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16" customHeight="1">
      <c r="A59" s="126"/>
      <c r="B59" s="132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32.25" customHeight="1">
      <c r="A60" s="126"/>
      <c r="B60" s="178" t="s">
        <v>609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16" customHeight="1">
      <c r="A61" s="126"/>
      <c r="B61" s="141" t="s">
        <v>610</v>
      </c>
      <c r="C61" s="142" t="s">
        <v>611</v>
      </c>
      <c r="D61" s="142" t="s">
        <v>612</v>
      </c>
      <c r="E61" s="142" t="s">
        <v>613</v>
      </c>
      <c r="F61" s="142" t="s">
        <v>614</v>
      </c>
      <c r="G61" s="142" t="s">
        <v>615</v>
      </c>
      <c r="H61" s="142" t="s">
        <v>616</v>
      </c>
      <c r="I61" s="142" t="s">
        <v>617</v>
      </c>
      <c r="J61" s="142" t="s">
        <v>618</v>
      </c>
      <c r="K61" s="142" t="s">
        <v>619</v>
      </c>
      <c r="L61" s="142" t="s">
        <v>620</v>
      </c>
      <c r="M61" s="142" t="s">
        <v>621</v>
      </c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6" customHeight="1">
      <c r="A62" s="126"/>
      <c r="B62" s="196">
        <v>1.1499999999999999</v>
      </c>
      <c r="C62" s="197">
        <v>1.05</v>
      </c>
      <c r="D62" s="197">
        <v>1</v>
      </c>
      <c r="E62" s="197">
        <v>1.1000000000000001</v>
      </c>
      <c r="F62" s="197">
        <v>0.85</v>
      </c>
      <c r="G62" s="197">
        <v>0.9</v>
      </c>
      <c r="H62" s="197">
        <v>0.95</v>
      </c>
      <c r="I62" s="197">
        <v>0.95</v>
      </c>
      <c r="J62" s="197">
        <v>1</v>
      </c>
      <c r="K62" s="197">
        <v>1.1200000000000001</v>
      </c>
      <c r="L62" s="197">
        <v>1.05</v>
      </c>
      <c r="M62" s="197">
        <v>0.88</v>
      </c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16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16" customHeight="1">
      <c r="A64" s="126"/>
      <c r="B64" s="198" t="s">
        <v>622</v>
      </c>
      <c r="C64" s="199"/>
      <c r="D64" s="199"/>
      <c r="E64" s="199"/>
      <c r="F64" s="199"/>
      <c r="G64" s="199"/>
      <c r="H64" s="199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16" customHeight="1">
      <c r="A65" s="126"/>
      <c r="B65" s="154" t="s">
        <v>623</v>
      </c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16" customHeight="1">
      <c r="A66" s="126"/>
      <c r="B66" s="200" t="s">
        <v>624</v>
      </c>
      <c r="C66" s="200" t="s">
        <v>625</v>
      </c>
      <c r="D66" s="200" t="s">
        <v>502</v>
      </c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16" customHeight="1">
      <c r="A67" s="126"/>
      <c r="B67" s="126" t="s">
        <v>626</v>
      </c>
      <c r="C67" s="195">
        <v>0.7</v>
      </c>
      <c r="D67" s="126" t="s">
        <v>627</v>
      </c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16" customHeight="1">
      <c r="A68" s="126"/>
      <c r="B68" s="126" t="s">
        <v>628</v>
      </c>
      <c r="C68" s="195">
        <v>0.23</v>
      </c>
      <c r="D68" s="126" t="s">
        <v>629</v>
      </c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16" customHeight="1">
      <c r="A69" s="126"/>
      <c r="B69" s="126" t="s">
        <v>630</v>
      </c>
      <c r="C69" s="195">
        <v>7.0000000000000007E-2</v>
      </c>
      <c r="D69" s="126" t="s">
        <v>631</v>
      </c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16" customHeight="1">
      <c r="A70" s="126"/>
      <c r="B70" s="162" t="s">
        <v>608</v>
      </c>
      <c r="C70" s="194">
        <f t="shared" ref="C70:G110" si="4">SUM(C67:C69)</f>
        <v>1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16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16" customHeight="1">
      <c r="A72" s="126"/>
      <c r="B72" s="154" t="s">
        <v>632</v>
      </c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16" customHeight="1">
      <c r="A73" s="126"/>
      <c r="B73" s="200" t="s">
        <v>633</v>
      </c>
      <c r="C73" s="200" t="s">
        <v>634</v>
      </c>
      <c r="D73" s="200" t="s">
        <v>635</v>
      </c>
      <c r="E73" s="200" t="s">
        <v>502</v>
      </c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16" customHeight="1">
      <c r="A74" s="126"/>
      <c r="B74" s="126" t="s">
        <v>636</v>
      </c>
      <c r="C74" s="181">
        <v>0.18</v>
      </c>
      <c r="D74" s="126" t="s">
        <v>637</v>
      </c>
      <c r="E74" s="126" t="s">
        <v>638</v>
      </c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16" customHeight="1">
      <c r="A75" s="126"/>
      <c r="B75" s="126" t="s">
        <v>639</v>
      </c>
      <c r="C75" s="181">
        <v>0.11</v>
      </c>
      <c r="D75" s="126" t="s">
        <v>640</v>
      </c>
      <c r="E75" s="126" t="s">
        <v>641</v>
      </c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16" customHeight="1">
      <c r="A76" s="126"/>
      <c r="B76" s="126" t="s">
        <v>642</v>
      </c>
      <c r="C76" s="181">
        <v>0.05</v>
      </c>
      <c r="D76" s="126" t="s">
        <v>643</v>
      </c>
      <c r="E76" s="126" t="s">
        <v>644</v>
      </c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16" customHeight="1">
      <c r="A77" s="126"/>
      <c r="B77" s="126" t="s">
        <v>645</v>
      </c>
      <c r="C77" s="181">
        <v>0.05</v>
      </c>
      <c r="D77" s="126" t="s">
        <v>646</v>
      </c>
      <c r="E77" s="126" t="s">
        <v>647</v>
      </c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16" customHeight="1">
      <c r="A78" s="126"/>
      <c r="B78" s="126" t="s">
        <v>648</v>
      </c>
      <c r="C78" s="181">
        <v>0.03</v>
      </c>
      <c r="D78" s="126" t="s">
        <v>649</v>
      </c>
      <c r="E78" s="126" t="s">
        <v>650</v>
      </c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16" customHeight="1">
      <c r="A79" s="126"/>
      <c r="B79" s="126" t="s">
        <v>651</v>
      </c>
      <c r="C79" s="181">
        <v>0.08</v>
      </c>
      <c r="D79" s="126" t="s">
        <v>652</v>
      </c>
      <c r="E79" s="126" t="s">
        <v>653</v>
      </c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16" customHeight="1">
      <c r="A80" s="126"/>
      <c r="B80" s="126" t="s">
        <v>654</v>
      </c>
      <c r="C80" s="181">
        <v>1.4999999999999999E-2</v>
      </c>
      <c r="D80" s="126" t="s">
        <v>655</v>
      </c>
      <c r="E80" s="126" t="s">
        <v>656</v>
      </c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16" customHeight="1">
      <c r="A81" s="126"/>
      <c r="B81" s="162" t="s">
        <v>657</v>
      </c>
      <c r="C81" s="150">
        <f>SUM(C74:C80)</f>
        <v>0.5149999999999999</v>
      </c>
      <c r="D81" s="126"/>
      <c r="E81" s="126" t="s">
        <v>658</v>
      </c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16" customHeight="1">
      <c r="A82" s="126"/>
      <c r="B82" s="162" t="s">
        <v>659</v>
      </c>
      <c r="C82" s="201">
        <f>1-C81</f>
        <v>0.4850000000000001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16" customHeight="1">
      <c r="A83" s="126"/>
      <c r="B83" s="126" t="s">
        <v>660</v>
      </c>
      <c r="C83" s="202">
        <v>2.6</v>
      </c>
      <c r="D83" s="126" t="s">
        <v>661</v>
      </c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16" customHeight="1">
      <c r="A84" s="126"/>
      <c r="B84" s="126" t="s">
        <v>662</v>
      </c>
      <c r="C84" s="181">
        <v>0.05</v>
      </c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16" customHeight="1">
      <c r="A85" s="126"/>
      <c r="B85" s="126" t="s">
        <v>663</v>
      </c>
      <c r="C85" s="134">
        <v>30</v>
      </c>
      <c r="D85" s="126" t="s">
        <v>664</v>
      </c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16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16" customHeight="1">
      <c r="A87" s="126"/>
      <c r="B87" s="158" t="s">
        <v>665</v>
      </c>
      <c r="C87" s="129"/>
      <c r="D87" s="129"/>
      <c r="E87" s="129"/>
      <c r="F87" s="129"/>
      <c r="G87" s="129"/>
      <c r="H87" s="129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16" customHeight="1">
      <c r="A88" s="126"/>
      <c r="B88" s="131" t="s">
        <v>500</v>
      </c>
      <c r="C88" s="131" t="s">
        <v>282</v>
      </c>
      <c r="D88" s="131" t="s">
        <v>502</v>
      </c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16" customHeight="1">
      <c r="A89" s="126"/>
      <c r="B89" s="126" t="s">
        <v>666</v>
      </c>
      <c r="C89" s="181">
        <v>0.12</v>
      </c>
      <c r="D89" s="126" t="s">
        <v>667</v>
      </c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16" customHeight="1">
      <c r="A90" s="126"/>
      <c r="B90" s="126" t="s">
        <v>668</v>
      </c>
      <c r="C90" s="203">
        <v>12</v>
      </c>
      <c r="D90" s="126" t="s">
        <v>669</v>
      </c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16" customHeight="1">
      <c r="A91" s="126"/>
      <c r="B91" s="126" t="s">
        <v>670</v>
      </c>
      <c r="C91" s="181">
        <v>0.04</v>
      </c>
      <c r="D91" s="126" t="s">
        <v>671</v>
      </c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16" customHeight="1">
      <c r="A92" s="126"/>
      <c r="B92" s="126" t="s">
        <v>672</v>
      </c>
      <c r="C92" s="180">
        <v>0.25169999999999998</v>
      </c>
      <c r="D92" s="126" t="s">
        <v>673</v>
      </c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16" customHeight="1">
      <c r="A93" s="126"/>
      <c r="B93" s="126" t="s">
        <v>674</v>
      </c>
      <c r="C93" s="181" t="s">
        <v>675</v>
      </c>
      <c r="D93" s="126" t="s">
        <v>676</v>
      </c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16" customHeight="1">
      <c r="A94" s="126"/>
      <c r="B94" s="126" t="s">
        <v>677</v>
      </c>
      <c r="C94" s="133">
        <v>0.4</v>
      </c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16" customHeight="1">
      <c r="A95" s="126"/>
      <c r="B95" s="126" t="s">
        <v>678</v>
      </c>
      <c r="C95" s="181">
        <v>0.6</v>
      </c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16" customHeight="1">
      <c r="A96" s="126"/>
      <c r="B96" s="126" t="s">
        <v>679</v>
      </c>
      <c r="C96" s="133">
        <v>0.1</v>
      </c>
      <c r="D96" s="126" t="s">
        <v>680</v>
      </c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16" customHeight="1">
      <c r="A97" s="126"/>
      <c r="B97" s="126" t="s">
        <v>681</v>
      </c>
      <c r="C97" s="181">
        <v>2</v>
      </c>
      <c r="D97" s="126" t="s">
        <v>682</v>
      </c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16" customHeight="1">
      <c r="A98" s="126"/>
      <c r="B98" s="126" t="s">
        <v>683</v>
      </c>
      <c r="C98" s="133">
        <v>15</v>
      </c>
      <c r="D98" s="126" t="s">
        <v>684</v>
      </c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16" customHeight="1">
      <c r="A99" s="126"/>
      <c r="B99" s="126" t="s">
        <v>685</v>
      </c>
      <c r="C99" s="133">
        <v>30</v>
      </c>
      <c r="D99" s="126" t="s">
        <v>686</v>
      </c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16" customHeight="1">
      <c r="A100" s="126"/>
      <c r="B100" s="126" t="s">
        <v>687</v>
      </c>
      <c r="C100" s="133">
        <v>10</v>
      </c>
      <c r="D100" s="126" t="s">
        <v>686</v>
      </c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16" customHeight="1">
      <c r="A101" s="126"/>
      <c r="B101" s="126" t="s">
        <v>688</v>
      </c>
      <c r="C101" s="133">
        <v>30</v>
      </c>
      <c r="D101" s="126" t="s">
        <v>689</v>
      </c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16" customHeight="1">
      <c r="A102" s="126"/>
      <c r="B102" s="126" t="s">
        <v>690</v>
      </c>
      <c r="C102" s="181">
        <v>0.03</v>
      </c>
      <c r="D102" s="126" t="s">
        <v>691</v>
      </c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16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16" customHeight="1">
      <c r="A104" s="126"/>
      <c r="B104" s="204" t="s">
        <v>692</v>
      </c>
      <c r="C104" s="146"/>
      <c r="D104" s="146"/>
      <c r="E104" s="146"/>
      <c r="F104" s="146"/>
      <c r="G104" s="146"/>
      <c r="H104" s="14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16" customHeight="1">
      <c r="A105" s="126"/>
      <c r="B105" s="205" t="s">
        <v>693</v>
      </c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16" customHeight="1">
      <c r="A106" s="126"/>
      <c r="B106" s="148" t="s">
        <v>694</v>
      </c>
      <c r="C106" s="148" t="s">
        <v>695</v>
      </c>
      <c r="D106" s="148" t="s">
        <v>696</v>
      </c>
      <c r="E106" s="148" t="s">
        <v>453</v>
      </c>
      <c r="F106" s="148" t="s">
        <v>454</v>
      </c>
      <c r="G106" s="148" t="s">
        <v>455</v>
      </c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16" customHeight="1">
      <c r="A107" s="126"/>
      <c r="B107" s="126" t="s">
        <v>697</v>
      </c>
      <c r="C107" s="133">
        <v>40</v>
      </c>
      <c r="D107" s="133">
        <v>50</v>
      </c>
      <c r="E107" s="134">
        <v>4500</v>
      </c>
      <c r="F107" s="135">
        <f t="shared" ref="F107:F117" si="5">C107*12*E107/100000</f>
        <v>21.6</v>
      </c>
      <c r="G107" s="135">
        <f t="shared" ref="G107:G117" si="6">D107*12*E107/100000</f>
        <v>27</v>
      </c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16" customHeight="1">
      <c r="A108" s="126"/>
      <c r="B108" s="126" t="s">
        <v>698</v>
      </c>
      <c r="C108" s="133">
        <v>20</v>
      </c>
      <c r="D108" s="133">
        <v>25</v>
      </c>
      <c r="E108" s="134">
        <v>4500</v>
      </c>
      <c r="F108" s="135">
        <f t="shared" si="5"/>
        <v>10.8</v>
      </c>
      <c r="G108" s="135">
        <f t="shared" si="6"/>
        <v>13.5</v>
      </c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16" customHeight="1">
      <c r="A109" s="126"/>
      <c r="B109" s="126" t="s">
        <v>699</v>
      </c>
      <c r="C109" s="133">
        <v>10</v>
      </c>
      <c r="D109" s="133">
        <v>15</v>
      </c>
      <c r="E109" s="134">
        <v>4000</v>
      </c>
      <c r="F109" s="135">
        <f t="shared" si="5"/>
        <v>4.8</v>
      </c>
      <c r="G109" s="135">
        <f t="shared" si="6"/>
        <v>7.2</v>
      </c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16" customHeight="1">
      <c r="A110" s="126"/>
      <c r="B110" s="162" t="s">
        <v>700</v>
      </c>
      <c r="C110" s="162">
        <f t="shared" si="4"/>
        <v>70</v>
      </c>
      <c r="D110" s="162">
        <f t="shared" si="4"/>
        <v>90</v>
      </c>
      <c r="E110" s="162"/>
      <c r="F110" s="206">
        <f t="shared" si="4"/>
        <v>37.200000000000003</v>
      </c>
      <c r="G110" s="206">
        <f t="shared" si="4"/>
        <v>47.7</v>
      </c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16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16" customHeight="1">
      <c r="A112" s="126"/>
      <c r="B112" s="205" t="s">
        <v>701</v>
      </c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16" customHeight="1">
      <c r="A113" s="126"/>
      <c r="B113" s="148" t="s">
        <v>702</v>
      </c>
      <c r="C113" s="148" t="s">
        <v>695</v>
      </c>
      <c r="D113" s="148" t="s">
        <v>696</v>
      </c>
      <c r="E113" s="148" t="s">
        <v>453</v>
      </c>
      <c r="F113" s="148" t="s">
        <v>454</v>
      </c>
      <c r="G113" s="148" t="s">
        <v>455</v>
      </c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16" customHeight="1">
      <c r="A114" s="126"/>
      <c r="B114" s="126" t="s">
        <v>703</v>
      </c>
      <c r="C114" s="133">
        <v>30</v>
      </c>
      <c r="D114" s="133">
        <v>40</v>
      </c>
      <c r="E114" s="134">
        <v>3800</v>
      </c>
      <c r="F114" s="135">
        <f t="shared" si="5"/>
        <v>13.68</v>
      </c>
      <c r="G114" s="135">
        <f t="shared" si="6"/>
        <v>18.239999999999998</v>
      </c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16" customHeight="1">
      <c r="A115" s="126"/>
      <c r="B115" s="126" t="s">
        <v>704</v>
      </c>
      <c r="C115" s="133">
        <v>20</v>
      </c>
      <c r="D115" s="133">
        <v>25</v>
      </c>
      <c r="E115" s="134">
        <v>4000</v>
      </c>
      <c r="F115" s="135">
        <f t="shared" si="5"/>
        <v>9.6</v>
      </c>
      <c r="G115" s="135">
        <f t="shared" si="6"/>
        <v>12</v>
      </c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16" customHeight="1">
      <c r="A116" s="126"/>
      <c r="B116" s="126" t="s">
        <v>705</v>
      </c>
      <c r="C116" s="133">
        <v>20</v>
      </c>
      <c r="D116" s="133">
        <v>30</v>
      </c>
      <c r="E116" s="134">
        <v>4200</v>
      </c>
      <c r="F116" s="135">
        <f t="shared" si="5"/>
        <v>10.08</v>
      </c>
      <c r="G116" s="135">
        <f t="shared" si="6"/>
        <v>15.12</v>
      </c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16" customHeight="1">
      <c r="A117" s="126"/>
      <c r="B117" s="126" t="s">
        <v>471</v>
      </c>
      <c r="C117" s="133">
        <v>20</v>
      </c>
      <c r="D117" s="133">
        <v>27</v>
      </c>
      <c r="E117" s="134">
        <v>4000</v>
      </c>
      <c r="F117" s="135">
        <f t="shared" si="5"/>
        <v>9.6</v>
      </c>
      <c r="G117" s="135">
        <f t="shared" si="6"/>
        <v>12.96</v>
      </c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16" customHeight="1">
      <c r="A118" s="126"/>
      <c r="B118" s="162" t="s">
        <v>706</v>
      </c>
      <c r="C118" s="162">
        <f t="shared" ref="C118:G118" si="7">SUM(C114:C117)</f>
        <v>90</v>
      </c>
      <c r="D118" s="162">
        <f t="shared" si="7"/>
        <v>122</v>
      </c>
      <c r="E118" s="162"/>
      <c r="F118" s="206">
        <f t="shared" si="7"/>
        <v>42.96</v>
      </c>
      <c r="G118" s="206">
        <f t="shared" si="7"/>
        <v>58.32</v>
      </c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16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16" customHeight="1">
      <c r="A120" s="126"/>
      <c r="B120" s="205" t="s">
        <v>707</v>
      </c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16" customHeight="1">
      <c r="A121" s="126"/>
      <c r="B121" s="148" t="s">
        <v>708</v>
      </c>
      <c r="C121" s="148" t="s">
        <v>709</v>
      </c>
      <c r="D121" s="148" t="s">
        <v>710</v>
      </c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19.5" customHeight="1">
      <c r="A122" s="126"/>
      <c r="B122" s="588" t="s">
        <v>711</v>
      </c>
      <c r="C122" s="589">
        <v>0.6</v>
      </c>
      <c r="D122" s="590" t="s">
        <v>712</v>
      </c>
      <c r="E122" s="590"/>
      <c r="F122" s="590"/>
      <c r="G122" s="590"/>
      <c r="H122" s="590"/>
      <c r="I122" s="590"/>
      <c r="J122" s="590"/>
      <c r="K122" s="590"/>
      <c r="L122" s="590"/>
      <c r="M122" s="590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16" customHeight="1">
      <c r="A123" s="126"/>
      <c r="B123" s="126" t="s">
        <v>332</v>
      </c>
      <c r="C123" s="195">
        <v>0.8</v>
      </c>
      <c r="D123" s="126" t="s">
        <v>713</v>
      </c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16" customHeight="1">
      <c r="A124" s="126"/>
      <c r="B124" s="184" t="s">
        <v>714</v>
      </c>
      <c r="C124" s="195">
        <v>1</v>
      </c>
      <c r="D124" s="126" t="s">
        <v>715</v>
      </c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16" customHeight="1">
      <c r="A125" s="126"/>
      <c r="B125" s="126" t="s">
        <v>716</v>
      </c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16" customHeight="1">
      <c r="A126" s="126"/>
      <c r="B126" s="162" t="s">
        <v>717</v>
      </c>
      <c r="C126" s="207">
        <f t="shared" ref="C126:D126" si="8">C110+C118</f>
        <v>160</v>
      </c>
      <c r="D126" s="207">
        <f t="shared" si="8"/>
        <v>212</v>
      </c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16" customHeight="1">
      <c r="A127" s="126"/>
      <c r="B127" s="162" t="s">
        <v>718</v>
      </c>
      <c r="C127" s="150">
        <f t="shared" ref="C127:D127" si="9">C126/(55*30)</f>
        <v>9.696969696969697E-2</v>
      </c>
      <c r="D127" s="150">
        <f t="shared" si="9"/>
        <v>0.12848484848484848</v>
      </c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16" customHeight="1">
      <c r="A128" s="126"/>
      <c r="B128" s="126" t="s">
        <v>719</v>
      </c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16" customHeight="1">
      <c r="A129" s="126"/>
      <c r="B129" s="208" t="s">
        <v>493</v>
      </c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16" customHeight="1">
      <c r="A130" s="126"/>
      <c r="B130" s="209" t="s">
        <v>720</v>
      </c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16" customHeight="1">
      <c r="A131" s="126"/>
      <c r="B131" s="126" t="s">
        <v>721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16" customHeight="1">
      <c r="A132" s="126"/>
      <c r="B132" s="126" t="s">
        <v>722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16" customHeight="1">
      <c r="A133" s="126"/>
      <c r="B133" s="126" t="s">
        <v>723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16" customHeight="1">
      <c r="A134" s="126"/>
      <c r="B134" s="126" t="s">
        <v>724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16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16" customHeight="1">
      <c r="A136" s="126"/>
      <c r="B136" s="184" t="s">
        <v>725</v>
      </c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16" customHeight="1">
      <c r="A137" s="126"/>
      <c r="B137" s="126" t="s">
        <v>726</v>
      </c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16" customHeight="1">
      <c r="A138" s="126"/>
      <c r="B138" s="126" t="s">
        <v>727</v>
      </c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16" customHeight="1">
      <c r="A139" s="126"/>
      <c r="B139" s="126" t="s">
        <v>728</v>
      </c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16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17.25" customHeight="1">
      <c r="A141" s="126"/>
      <c r="B141" s="591" t="s">
        <v>729</v>
      </c>
      <c r="C141" s="590"/>
      <c r="D141" s="590"/>
      <c r="E141" s="590"/>
      <c r="F141" s="590"/>
      <c r="G141" s="590"/>
      <c r="H141" s="590"/>
      <c r="I141" s="590"/>
      <c r="J141" s="590"/>
      <c r="K141" s="590"/>
      <c r="L141" s="590"/>
      <c r="M141" s="590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16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16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16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16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16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16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16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16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16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16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16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16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16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16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16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16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16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16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16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16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16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16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16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16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16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16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16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16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16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16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16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16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16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16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16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16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16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16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16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16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16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16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16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16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16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16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16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16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16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16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16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16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16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16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16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16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16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16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16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16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16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16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16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16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16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16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16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16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16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16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16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16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16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16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16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16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16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16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16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16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16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</sheetData>
  <mergeCells count="9">
    <mergeCell ref="B1:M1"/>
    <mergeCell ref="B2:M2"/>
    <mergeCell ref="F27:I27"/>
    <mergeCell ref="F38:H38"/>
    <mergeCell ref="B43:F43"/>
    <mergeCell ref="B48:F48"/>
    <mergeCell ref="B122:M122"/>
    <mergeCell ref="B141:M141"/>
    <mergeCell ref="B8:H8"/>
  </mergeCells>
  <conditionalFormatting sqref="I41:I56">
    <cfRule type="containsText" dxfId="24" priority="1" operator="containsText" text="PASS">
      <formula>NOT(ISERROR(SEARCH("PASS",I41)))</formula>
    </cfRule>
    <cfRule type="containsText" dxfId="23" priority="2" operator="containsText" text="FAIL">
      <formula>NOT(ISERROR(SEARCH("FAIL",I41)))</formula>
    </cfRule>
  </conditionalFormatting>
  <conditionalFormatting sqref="I57">
    <cfRule type="containsText" dxfId="22" priority="17" operator="containsText" text="ALL CHECKS PASS">
      <formula>NOT(ISERROR(SEARCH("ALL CHECKS PASS",I57)))</formula>
    </cfRule>
    <cfRule type="containsText" dxfId="21" priority="18" operator="containsText" text="FAILED">
      <formula>NOT(ISERROR(SEARCH("FAILED",I57)))</formula>
    </cfRule>
  </conditionalFormatting>
  <dataValidations count="11">
    <dataValidation type="decimal" errorStyle="warning" allowBlank="1" showInputMessage="1" showErrorMessage="1" errorTitle="Growth Rate Out of Range" error="Terminal growth rate should be between 0% and 8%" sqref="C91" xr:uid="{00000000-0002-0000-0300-000000000000}">
      <formula1>0</formula1>
      <formula2>0.08</formula2>
    </dataValidation>
    <dataValidation type="decimal" errorStyle="warning" allowBlank="1" showInputMessage="1" showErrorMessage="1" errorTitle="Tax Rate Out of Range" error="Corporate tax rate should be between 15% and 35%" sqref="C92" xr:uid="{00000000-0002-0000-0300-000001000000}">
      <formula1>0.15</formula1>
      <formula2>0.35</formula2>
    </dataValidation>
    <dataValidation type="decimal" errorStyle="warning" allowBlank="1" showInputMessage="1" showErrorMessage="1" errorTitle="Exit Multiple Out of Range" error="Exit multiple should be between 5x and 25x EBITDA" sqref="C90" xr:uid="{00000000-0002-0000-0300-000002000000}">
      <formula1>5</formula1>
      <formula2>25</formula2>
    </dataValidation>
    <dataValidation type="decimal" errorStyle="warning" allowBlank="1" showInputMessage="1" showErrorMessage="1" errorTitle="WACC Out of Range" error="WACC should be between 5% and 25%" sqref="C89" xr:uid="{00000000-0002-0000-0300-000003000000}">
      <formula1>0.05</formula1>
      <formula2>0.25</formula2>
    </dataValidation>
    <dataValidation type="decimal" allowBlank="1" showInputMessage="1" showErrorMessage="1" sqref="C53 C54 C55 C56 C57" xr:uid="{00000000-0002-0000-0300-000004000000}">
      <formula1>0</formula1>
      <formula2>1</formula2>
    </dataValidation>
    <dataValidation type="whole" errorStyle="warning" allowBlank="1" showInputMessage="1" showErrorMessage="1" errorTitle="ADR Out of Range" error="ADR should be between ₹1,000 and ₹15,000 for 4-star Madurai market" sqref="F39:L39" xr:uid="{00000000-0002-0000-0300-000005000000}">
      <formula1>1000</formula1>
      <formula2>15000</formula2>
    </dataValidation>
    <dataValidation type="decimal" errorStyle="warning" allowBlank="1" showInputMessage="1" showErrorMessage="1" errorTitle="ADR Out of Range" error="ADR should be between ₹1,000 and ₹15,000 for a 4-star hotel in Tier-2 India" sqref="C39:E39" xr:uid="{00000000-0002-0000-0300-00000C000000}">
      <formula1>1000</formula1>
      <formula2>15000</formula2>
    </dataValidation>
    <dataValidation type="whole" errorStyle="warning" allowBlank="1" showInputMessage="1" showErrorMessage="1" errorTitle="Invalid Occupancy" error="Occupancy must be between 0% and 100%" sqref="F26:L38" xr:uid="{00000000-0002-0000-0300-00000F000000}">
      <formula1>0</formula1>
      <formula2>1</formula2>
    </dataValidation>
    <dataValidation type="decimal" errorStyle="warning" allowBlank="1" showInputMessage="1" showErrorMessage="1" errorTitle="Occupancy Out of Range" error="Occupancy should be between 0% and 100%" sqref="C26:E38" xr:uid="{00000000-0002-0000-0300-000016000000}">
      <formula1>0</formula1>
      <formula2>1</formula2>
    </dataValidation>
    <dataValidation type="list" allowBlank="1" showInputMessage="1" showErrorMessage="1" sqref="G11" xr:uid="{00000000-0002-0000-0300-000019000000}">
      <formula1>"Phase 1 Only,Phased"</formula1>
    </dataValidation>
    <dataValidation type="list" allowBlank="1" showInputMessage="1" showErrorMessage="1" sqref="G10" xr:uid="{00000000-0002-0000-0300-00001A000000}">
      <formula1>"Bear,Base,Bull"</formula1>
    </dataValidation>
  </dataValidation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E458-8B69-EA8B-AF78-B57F4D2EE308}">
  <sheetPr>
    <tabColor rgb="FF2E6B8A"/>
  </sheetPr>
  <dimension ref="B2:P41"/>
  <sheetViews>
    <sheetView showGridLines="0" workbookViewId="0"/>
  </sheetViews>
  <sheetFormatPr baseColWidth="10" defaultColWidth="9" defaultRowHeight="16" customHeight="1"/>
  <cols>
    <col min="1" max="1" width="2.5" customWidth="1"/>
    <col min="2" max="2" width="127.5" customWidth="1"/>
    <col min="3" max="3" width="12.5" customWidth="1"/>
    <col min="4" max="4" width="10.33203125" customWidth="1"/>
    <col min="5" max="5" width="11.83203125" customWidth="1"/>
    <col min="6" max="6" width="29.6640625" customWidth="1"/>
    <col min="7" max="8" width="12.33203125" customWidth="1"/>
    <col min="9" max="9" width="12.1640625" customWidth="1"/>
    <col min="11" max="11" width="13.5" customWidth="1"/>
    <col min="12" max="14" width="12.33203125" customWidth="1"/>
    <col min="15" max="15" width="12.1640625" customWidth="1"/>
    <col min="16" max="16" width="10.5" customWidth="1"/>
  </cols>
  <sheetData>
    <row r="2" spans="2:16" ht="18" customHeight="1">
      <c r="B2" s="125" t="s">
        <v>730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2:16" ht="16" customHeight="1">
      <c r="B3" s="127" t="s">
        <v>731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</row>
    <row r="4" spans="2:16" ht="16" customHeight="1"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</row>
    <row r="5" spans="2:16" ht="16" customHeight="1">
      <c r="B5" s="210" t="s">
        <v>732</v>
      </c>
      <c r="C5" s="211"/>
      <c r="D5" s="211"/>
      <c r="E5" s="211"/>
      <c r="F5" s="211"/>
      <c r="G5" s="126"/>
      <c r="H5" s="126"/>
      <c r="I5" s="126"/>
      <c r="J5" s="126"/>
      <c r="K5" s="126"/>
      <c r="L5" s="126"/>
      <c r="M5" s="126"/>
      <c r="N5" s="126"/>
      <c r="O5" s="126"/>
      <c r="P5" s="126"/>
    </row>
    <row r="6" spans="2:16" ht="16" customHeight="1">
      <c r="B6" s="212" t="s">
        <v>624</v>
      </c>
      <c r="C6" s="213" t="s">
        <v>733</v>
      </c>
      <c r="D6" s="213" t="s">
        <v>734</v>
      </c>
      <c r="E6" s="213" t="s">
        <v>735</v>
      </c>
      <c r="F6" s="213" t="s">
        <v>502</v>
      </c>
      <c r="G6" s="126"/>
      <c r="H6" s="126"/>
      <c r="I6" s="126"/>
      <c r="J6" s="126"/>
      <c r="K6" s="126"/>
      <c r="L6" s="126"/>
      <c r="M6" s="126"/>
      <c r="N6" s="126"/>
      <c r="O6" s="126"/>
      <c r="P6" s="126"/>
    </row>
    <row r="7" spans="2:16" ht="16" customHeight="1">
      <c r="B7" s="132" t="s">
        <v>736</v>
      </c>
      <c r="C7" s="202">
        <v>12</v>
      </c>
      <c r="D7" s="150">
        <f>C7/C14</f>
        <v>0.33613445378151263</v>
      </c>
      <c r="E7" s="126" t="s">
        <v>527</v>
      </c>
      <c r="F7" s="126" t="s">
        <v>737</v>
      </c>
      <c r="G7" s="126"/>
      <c r="H7" s="126"/>
      <c r="I7" s="126"/>
      <c r="J7" s="126"/>
      <c r="K7" s="126"/>
      <c r="L7" s="126"/>
      <c r="M7" s="126"/>
      <c r="N7" s="126"/>
      <c r="O7" s="126"/>
      <c r="P7" s="126"/>
    </row>
    <row r="8" spans="2:16" ht="16" customHeight="1">
      <c r="B8" s="132" t="s">
        <v>738</v>
      </c>
      <c r="C8" s="202">
        <v>9.5</v>
      </c>
      <c r="D8" s="150">
        <f t="shared" ref="D8:D18" si="0">C8/C14</f>
        <v>0.26610644257703087</v>
      </c>
      <c r="E8" s="126" t="s">
        <v>739</v>
      </c>
      <c r="F8" s="126" t="s">
        <v>740</v>
      </c>
      <c r="G8" s="126"/>
      <c r="H8" s="126"/>
      <c r="I8" s="126"/>
      <c r="J8" s="126"/>
      <c r="K8" s="126"/>
      <c r="L8" s="126"/>
      <c r="M8" s="126"/>
      <c r="N8" s="126"/>
      <c r="O8" s="126"/>
      <c r="P8" s="126"/>
    </row>
    <row r="9" spans="2:16" ht="16" customHeight="1">
      <c r="B9" s="132" t="s">
        <v>741</v>
      </c>
      <c r="C9" s="202">
        <v>4.2</v>
      </c>
      <c r="D9" s="150">
        <f t="shared" ref="D9:D19" si="1">C9/C14</f>
        <v>0.11764705882352942</v>
      </c>
      <c r="E9" s="126" t="s">
        <v>742</v>
      </c>
      <c r="F9" s="126" t="s">
        <v>743</v>
      </c>
      <c r="G9" s="126"/>
      <c r="H9" s="126"/>
      <c r="I9" s="126"/>
      <c r="J9" s="126"/>
      <c r="K9" s="126"/>
      <c r="L9" s="126"/>
      <c r="M9" s="126"/>
      <c r="N9" s="126"/>
      <c r="O9" s="126"/>
      <c r="P9" s="126"/>
    </row>
    <row r="10" spans="2:16" ht="16" customHeight="1">
      <c r="B10" s="132" t="s">
        <v>744</v>
      </c>
      <c r="C10" s="202">
        <v>3.8</v>
      </c>
      <c r="D10" s="150">
        <f t="shared" ref="D10:D20" si="2">C10/C14</f>
        <v>0.10644257703081234</v>
      </c>
      <c r="E10" s="126" t="s">
        <v>745</v>
      </c>
      <c r="F10" s="126" t="s">
        <v>746</v>
      </c>
      <c r="G10" s="126"/>
      <c r="H10" s="126"/>
      <c r="I10" s="126"/>
      <c r="J10" s="126"/>
      <c r="K10" s="126"/>
      <c r="L10" s="126"/>
      <c r="M10" s="126"/>
      <c r="N10" s="126"/>
      <c r="O10" s="126"/>
      <c r="P10" s="126"/>
    </row>
    <row r="11" spans="2:16" ht="16" customHeight="1">
      <c r="B11" s="132" t="s">
        <v>747</v>
      </c>
      <c r="C11" s="202">
        <v>3.4</v>
      </c>
      <c r="D11" s="150">
        <f t="shared" ref="D11:D21" si="3">C11/C14</f>
        <v>9.5238095238095247E-2</v>
      </c>
      <c r="E11" s="126" t="s">
        <v>748</v>
      </c>
      <c r="F11" s="126" t="s">
        <v>749</v>
      </c>
      <c r="G11" s="126"/>
      <c r="H11" s="126"/>
      <c r="I11" s="126"/>
      <c r="J11" s="126"/>
      <c r="K11" s="126"/>
      <c r="L11" s="126"/>
      <c r="M11" s="126"/>
      <c r="N11" s="126"/>
      <c r="O11" s="126"/>
      <c r="P11" s="126"/>
    </row>
    <row r="12" spans="2:16" ht="16" customHeight="1">
      <c r="B12" s="132" t="s">
        <v>750</v>
      </c>
      <c r="C12" s="202">
        <v>2</v>
      </c>
      <c r="D12" s="150">
        <f t="shared" ref="D12:D22" si="4">C12/C14</f>
        <v>5.6022408963585443E-2</v>
      </c>
      <c r="E12" s="126" t="s">
        <v>751</v>
      </c>
      <c r="F12" s="126" t="s">
        <v>752</v>
      </c>
      <c r="G12" s="126"/>
      <c r="H12" s="126"/>
      <c r="I12" s="126"/>
      <c r="J12" s="126"/>
      <c r="K12" s="126"/>
      <c r="L12" s="126"/>
      <c r="M12" s="126"/>
      <c r="N12" s="126"/>
      <c r="O12" s="126"/>
      <c r="P12" s="126"/>
    </row>
    <row r="13" spans="2:16" ht="16" customHeight="1">
      <c r="B13" s="132" t="s">
        <v>753</v>
      </c>
      <c r="C13" s="202">
        <v>0.8</v>
      </c>
      <c r="D13" s="150">
        <f t="shared" ref="D13:D23" si="5">C13/C14</f>
        <v>2.2408963585434177E-2</v>
      </c>
      <c r="E13" s="126" t="s">
        <v>754</v>
      </c>
      <c r="F13" s="126" t="s">
        <v>755</v>
      </c>
      <c r="G13" s="126"/>
      <c r="H13" s="126"/>
      <c r="I13" s="126"/>
      <c r="J13" s="126"/>
      <c r="K13" s="126"/>
      <c r="L13" s="126"/>
      <c r="M13" s="126"/>
      <c r="N13" s="126"/>
      <c r="O13" s="126"/>
      <c r="P13" s="126"/>
    </row>
    <row r="14" spans="2:16" ht="16" customHeight="1">
      <c r="B14" s="136" t="s">
        <v>756</v>
      </c>
      <c r="C14" s="138">
        <f t="shared" ref="C14:P37" si="6">SUM(C7:C13)</f>
        <v>35.699999999999996</v>
      </c>
      <c r="D14" s="137"/>
      <c r="E14" s="137"/>
      <c r="F14" s="137"/>
      <c r="G14" s="126"/>
      <c r="H14" s="126"/>
      <c r="I14" s="126"/>
      <c r="J14" s="126"/>
      <c r="K14" s="126"/>
      <c r="L14" s="126"/>
      <c r="M14" s="126"/>
      <c r="N14" s="126"/>
      <c r="O14" s="126"/>
      <c r="P14" s="126"/>
    </row>
    <row r="15" spans="2:16" ht="16" customHeight="1">
      <c r="B15" s="132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</row>
    <row r="16" spans="2:16" ht="32.25" customHeight="1">
      <c r="B16" s="214" t="s">
        <v>757</v>
      </c>
      <c r="C16" s="215"/>
      <c r="D16" s="215"/>
      <c r="E16" s="215"/>
      <c r="F16" s="215"/>
      <c r="G16" s="126"/>
      <c r="H16" s="126"/>
      <c r="I16" s="126"/>
      <c r="J16" s="126"/>
      <c r="K16" s="126"/>
      <c r="L16" s="126"/>
      <c r="M16" s="126"/>
      <c r="N16" s="126"/>
      <c r="O16" s="126"/>
      <c r="P16" s="126"/>
    </row>
    <row r="17" spans="2:16" ht="16" customHeight="1">
      <c r="B17" s="151" t="s">
        <v>624</v>
      </c>
      <c r="C17" s="200" t="s">
        <v>733</v>
      </c>
      <c r="D17" s="200" t="s">
        <v>734</v>
      </c>
      <c r="E17" s="200" t="s">
        <v>735</v>
      </c>
      <c r="F17" s="200" t="s">
        <v>502</v>
      </c>
      <c r="G17" s="126"/>
      <c r="H17" s="126"/>
      <c r="I17" s="126"/>
      <c r="J17" s="126"/>
      <c r="K17" s="126"/>
      <c r="L17" s="126"/>
      <c r="M17" s="126"/>
      <c r="N17" s="126"/>
      <c r="O17" s="126"/>
      <c r="P17" s="126"/>
    </row>
    <row r="18" spans="2:16" ht="16" customHeight="1">
      <c r="B18" s="132" t="s">
        <v>758</v>
      </c>
      <c r="C18" s="202">
        <v>3</v>
      </c>
      <c r="D18" s="150">
        <f t="shared" si="0"/>
        <v>0.41095890410958907</v>
      </c>
      <c r="E18" s="126" t="s">
        <v>759</v>
      </c>
      <c r="F18" s="126" t="s">
        <v>760</v>
      </c>
      <c r="G18" s="126"/>
      <c r="H18" s="126"/>
      <c r="I18" s="126"/>
      <c r="J18" s="126"/>
      <c r="K18" s="126"/>
      <c r="L18" s="126"/>
      <c r="M18" s="126"/>
      <c r="N18" s="126"/>
      <c r="O18" s="126"/>
      <c r="P18" s="126"/>
    </row>
    <row r="19" spans="2:16" ht="16" customHeight="1">
      <c r="B19" s="132" t="s">
        <v>741</v>
      </c>
      <c r="C19" s="202">
        <v>1.3</v>
      </c>
      <c r="D19" s="150">
        <f t="shared" si="1"/>
        <v>0.17808219178082194</v>
      </c>
      <c r="E19" s="126" t="s">
        <v>761</v>
      </c>
      <c r="F19" s="126" t="s">
        <v>762</v>
      </c>
      <c r="G19" s="126"/>
      <c r="H19" s="126"/>
      <c r="I19" s="126"/>
      <c r="J19" s="126"/>
      <c r="K19" s="126"/>
      <c r="L19" s="126"/>
      <c r="M19" s="126"/>
      <c r="N19" s="126"/>
      <c r="O19" s="126"/>
      <c r="P19" s="126"/>
    </row>
    <row r="20" spans="2:16" ht="16" customHeight="1">
      <c r="B20" s="132" t="s">
        <v>744</v>
      </c>
      <c r="C20" s="202">
        <v>1.2</v>
      </c>
      <c r="D20" s="150">
        <f t="shared" si="2"/>
        <v>0.16438356164383561</v>
      </c>
      <c r="E20" s="126" t="s">
        <v>763</v>
      </c>
      <c r="F20" s="126" t="s">
        <v>764</v>
      </c>
      <c r="G20" s="126"/>
      <c r="H20" s="126"/>
      <c r="I20" s="126"/>
      <c r="J20" s="126"/>
      <c r="K20" s="126"/>
      <c r="L20" s="126"/>
      <c r="M20" s="126"/>
      <c r="N20" s="126"/>
      <c r="O20" s="126"/>
      <c r="P20" s="126"/>
    </row>
    <row r="21" spans="2:16" ht="16" customHeight="1">
      <c r="B21" s="132" t="s">
        <v>765</v>
      </c>
      <c r="C21" s="202">
        <v>1.1000000000000001</v>
      </c>
      <c r="D21" s="150">
        <f t="shared" si="3"/>
        <v>0.15068493150684933</v>
      </c>
      <c r="E21" s="126" t="s">
        <v>766</v>
      </c>
      <c r="F21" s="126" t="s">
        <v>767</v>
      </c>
      <c r="G21" s="126"/>
      <c r="H21" s="126"/>
      <c r="I21" s="126"/>
      <c r="J21" s="126"/>
      <c r="K21" s="126"/>
      <c r="L21" s="126"/>
      <c r="M21" s="126"/>
      <c r="N21" s="126"/>
      <c r="O21" s="126"/>
      <c r="P21" s="126"/>
    </row>
    <row r="22" spans="2:16" ht="16" customHeight="1">
      <c r="B22" s="132" t="s">
        <v>750</v>
      </c>
      <c r="C22" s="202">
        <v>0.5</v>
      </c>
      <c r="D22" s="150">
        <f t="shared" si="4"/>
        <v>6.8493150684931503E-2</v>
      </c>
      <c r="E22" s="126" t="s">
        <v>768</v>
      </c>
      <c r="F22" s="126" t="s">
        <v>769</v>
      </c>
      <c r="G22" s="126"/>
      <c r="H22" s="126"/>
      <c r="I22" s="126"/>
      <c r="J22" s="126"/>
      <c r="K22" s="126"/>
      <c r="L22" s="126"/>
      <c r="M22" s="126"/>
      <c r="N22" s="126"/>
      <c r="O22" s="126"/>
      <c r="P22" s="126"/>
    </row>
    <row r="23" spans="2:16" ht="16" customHeight="1">
      <c r="B23" s="132" t="s">
        <v>753</v>
      </c>
      <c r="C23" s="202">
        <v>0.2</v>
      </c>
      <c r="D23" s="150">
        <f t="shared" si="5"/>
        <v>2.7397260273972605E-2</v>
      </c>
      <c r="E23" s="126" t="s">
        <v>754</v>
      </c>
      <c r="F23" s="126" t="s">
        <v>770</v>
      </c>
      <c r="G23" s="126"/>
      <c r="H23" s="126"/>
      <c r="I23" s="126"/>
      <c r="J23" s="126"/>
      <c r="K23" s="126"/>
      <c r="L23" s="126"/>
      <c r="M23" s="126"/>
      <c r="N23" s="126"/>
      <c r="O23" s="126"/>
      <c r="P23" s="126"/>
    </row>
    <row r="24" spans="2:16" ht="16" customHeight="1">
      <c r="B24" s="136" t="s">
        <v>771</v>
      </c>
      <c r="C24" s="138">
        <f>SUM(C18:C23)</f>
        <v>7.3</v>
      </c>
      <c r="D24" s="137"/>
      <c r="E24" s="137"/>
      <c r="F24" s="137"/>
      <c r="G24" s="126"/>
      <c r="H24" s="126"/>
      <c r="I24" s="126"/>
      <c r="J24" s="126"/>
      <c r="K24" s="126"/>
      <c r="L24" s="126"/>
      <c r="M24" s="126"/>
      <c r="N24" s="126"/>
      <c r="O24" s="126"/>
      <c r="P24" s="126"/>
    </row>
    <row r="25" spans="2:16" ht="16" customHeight="1">
      <c r="B25" s="132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</row>
    <row r="26" spans="2:16" ht="16" customHeight="1">
      <c r="B26" s="149" t="s">
        <v>772</v>
      </c>
      <c r="C26" s="206">
        <f>C14+C24</f>
        <v>42.999999999999993</v>
      </c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</row>
    <row r="27" spans="2:16" ht="16" customHeight="1">
      <c r="B27" s="132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</row>
    <row r="28" spans="2:16" ht="16" customHeight="1">
      <c r="B28" s="216" t="s">
        <v>773</v>
      </c>
      <c r="C28" s="217"/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</row>
    <row r="29" spans="2:16" ht="16" customHeight="1">
      <c r="B29" s="141" t="s">
        <v>774</v>
      </c>
      <c r="C29" s="142" t="s">
        <v>527</v>
      </c>
      <c r="D29" s="142" t="s">
        <v>775</v>
      </c>
      <c r="E29" s="142" t="s">
        <v>776</v>
      </c>
      <c r="F29" s="142" t="s">
        <v>777</v>
      </c>
      <c r="G29" s="142" t="s">
        <v>778</v>
      </c>
      <c r="H29" s="142" t="s">
        <v>779</v>
      </c>
      <c r="I29" s="142" t="s">
        <v>780</v>
      </c>
      <c r="J29" s="142"/>
      <c r="K29" s="142" t="s">
        <v>781</v>
      </c>
      <c r="L29" s="142" t="s">
        <v>782</v>
      </c>
      <c r="M29" s="142" t="s">
        <v>783</v>
      </c>
      <c r="N29" s="142" t="s">
        <v>784</v>
      </c>
      <c r="O29" s="142" t="s">
        <v>785</v>
      </c>
      <c r="P29" s="142" t="s">
        <v>786</v>
      </c>
    </row>
    <row r="30" spans="2:16" ht="16" customHeight="1">
      <c r="B30" s="132" t="s">
        <v>736</v>
      </c>
      <c r="C30" s="218">
        <v>12</v>
      </c>
      <c r="D30" s="218">
        <v>0</v>
      </c>
      <c r="E30" s="218">
        <v>0</v>
      </c>
      <c r="F30" s="218">
        <v>0</v>
      </c>
      <c r="G30" s="218">
        <v>0</v>
      </c>
      <c r="H30" s="218">
        <v>0</v>
      </c>
      <c r="I30" s="219">
        <f t="shared" ref="I30:I36" si="7">SUM(C30:H30)</f>
        <v>12</v>
      </c>
      <c r="J30" s="126"/>
      <c r="K30" s="126" t="s">
        <v>758</v>
      </c>
      <c r="L30" s="218">
        <v>1</v>
      </c>
      <c r="M30" s="218">
        <v>1.2</v>
      </c>
      <c r="N30" s="218">
        <v>0.8</v>
      </c>
      <c r="O30" s="219">
        <f t="shared" ref="O30:O35" si="8">SUM(L30:N30)</f>
        <v>3</v>
      </c>
      <c r="P30" s="219">
        <f t="shared" ref="P30:P35" si="9">I30+O30</f>
        <v>15</v>
      </c>
    </row>
    <row r="31" spans="2:16" ht="16" customHeight="1">
      <c r="B31" s="126" t="s">
        <v>738</v>
      </c>
      <c r="C31" s="218">
        <v>0</v>
      </c>
      <c r="D31" s="218">
        <v>0</v>
      </c>
      <c r="E31" s="218">
        <v>2.5</v>
      </c>
      <c r="F31" s="218">
        <v>3.5</v>
      </c>
      <c r="G31" s="218">
        <v>3</v>
      </c>
      <c r="H31" s="218">
        <v>0.5</v>
      </c>
      <c r="I31" s="219">
        <f t="shared" si="7"/>
        <v>9.5</v>
      </c>
      <c r="J31" s="126"/>
      <c r="K31" s="126" t="s">
        <v>741</v>
      </c>
      <c r="L31" s="218">
        <v>0.3</v>
      </c>
      <c r="M31" s="218">
        <v>0.6</v>
      </c>
      <c r="N31" s="218">
        <v>0.4</v>
      </c>
      <c r="O31" s="219">
        <f t="shared" si="8"/>
        <v>1.2999999999999998</v>
      </c>
      <c r="P31" s="219">
        <f t="shared" si="9"/>
        <v>10.8</v>
      </c>
    </row>
    <row r="32" spans="2:16" ht="16" customHeight="1">
      <c r="B32" s="126" t="s">
        <v>741</v>
      </c>
      <c r="C32" s="218">
        <v>0</v>
      </c>
      <c r="D32" s="218">
        <v>0</v>
      </c>
      <c r="E32" s="218">
        <v>0.8</v>
      </c>
      <c r="F32" s="218">
        <v>1.8</v>
      </c>
      <c r="G32" s="218">
        <v>1.6</v>
      </c>
      <c r="H32" s="218">
        <v>0</v>
      </c>
      <c r="I32" s="219">
        <f t="shared" si="7"/>
        <v>4.2</v>
      </c>
      <c r="J32" s="126"/>
      <c r="K32" s="126" t="s">
        <v>744</v>
      </c>
      <c r="L32" s="218">
        <v>0.2</v>
      </c>
      <c r="M32" s="218">
        <v>0.6</v>
      </c>
      <c r="N32" s="218">
        <v>0.4</v>
      </c>
      <c r="O32" s="219">
        <f t="shared" si="8"/>
        <v>1.2000000000000002</v>
      </c>
      <c r="P32" s="219">
        <f t="shared" si="9"/>
        <v>5.4</v>
      </c>
    </row>
    <row r="33" spans="2:16" ht="16" customHeight="1">
      <c r="B33" s="126" t="s">
        <v>744</v>
      </c>
      <c r="C33" s="218">
        <v>0</v>
      </c>
      <c r="D33" s="218">
        <v>0</v>
      </c>
      <c r="E33" s="218">
        <v>0</v>
      </c>
      <c r="F33" s="218">
        <v>0.8</v>
      </c>
      <c r="G33" s="218">
        <v>1.8</v>
      </c>
      <c r="H33" s="218">
        <v>1.2</v>
      </c>
      <c r="I33" s="219">
        <f t="shared" si="7"/>
        <v>3.8</v>
      </c>
      <c r="J33" s="126"/>
      <c r="K33" s="126" t="s">
        <v>765</v>
      </c>
      <c r="L33" s="218">
        <v>0</v>
      </c>
      <c r="M33" s="218">
        <v>0.4</v>
      </c>
      <c r="N33" s="218">
        <v>0.7</v>
      </c>
      <c r="O33" s="219">
        <f t="shared" si="8"/>
        <v>1.1000000000000001</v>
      </c>
      <c r="P33" s="219">
        <f t="shared" si="9"/>
        <v>4.9000000000000004</v>
      </c>
    </row>
    <row r="34" spans="2:16" ht="16" customHeight="1">
      <c r="B34" s="126" t="s">
        <v>765</v>
      </c>
      <c r="C34" s="218">
        <v>0</v>
      </c>
      <c r="D34" s="218">
        <v>0</v>
      </c>
      <c r="E34" s="218">
        <v>0</v>
      </c>
      <c r="F34" s="218">
        <v>0</v>
      </c>
      <c r="G34" s="218">
        <v>1.6</v>
      </c>
      <c r="H34" s="218">
        <v>1.8</v>
      </c>
      <c r="I34" s="219">
        <f t="shared" si="7"/>
        <v>3.4000000000000004</v>
      </c>
      <c r="J34" s="126"/>
      <c r="K34" s="126" t="s">
        <v>787</v>
      </c>
      <c r="L34" s="218">
        <v>0</v>
      </c>
      <c r="M34" s="218">
        <v>0.1</v>
      </c>
      <c r="N34" s="218">
        <v>0.4</v>
      </c>
      <c r="O34" s="219">
        <f t="shared" si="8"/>
        <v>0.5</v>
      </c>
      <c r="P34" s="219">
        <f t="shared" si="9"/>
        <v>3.9000000000000004</v>
      </c>
    </row>
    <row r="35" spans="2:16" ht="16" customHeight="1">
      <c r="B35" s="126" t="s">
        <v>787</v>
      </c>
      <c r="C35" s="218">
        <v>0</v>
      </c>
      <c r="D35" s="218">
        <v>0</v>
      </c>
      <c r="E35" s="218">
        <v>0</v>
      </c>
      <c r="F35" s="218">
        <v>0</v>
      </c>
      <c r="G35" s="218">
        <v>0.4</v>
      </c>
      <c r="H35" s="218">
        <v>1.6</v>
      </c>
      <c r="I35" s="219">
        <f t="shared" si="7"/>
        <v>2</v>
      </c>
      <c r="J35" s="126"/>
      <c r="K35" s="126" t="s">
        <v>753</v>
      </c>
      <c r="L35" s="218">
        <v>0.05</v>
      </c>
      <c r="M35" s="218">
        <v>0.08</v>
      </c>
      <c r="N35" s="218">
        <v>7.0000000000000007E-2</v>
      </c>
      <c r="O35" s="219">
        <f t="shared" si="8"/>
        <v>0.2</v>
      </c>
      <c r="P35" s="219">
        <f t="shared" si="9"/>
        <v>2.2000000000000002</v>
      </c>
    </row>
    <row r="36" spans="2:16" ht="16" customHeight="1">
      <c r="B36" s="126" t="s">
        <v>753</v>
      </c>
      <c r="C36" s="218">
        <v>0.05</v>
      </c>
      <c r="D36" s="218">
        <v>0.05</v>
      </c>
      <c r="E36" s="218">
        <v>0.15</v>
      </c>
      <c r="F36" s="218">
        <v>0.2</v>
      </c>
      <c r="G36" s="218">
        <v>0.2</v>
      </c>
      <c r="H36" s="218">
        <v>0.15</v>
      </c>
      <c r="I36" s="219">
        <f t="shared" si="7"/>
        <v>0.8</v>
      </c>
      <c r="J36" s="126"/>
      <c r="K36" s="126"/>
      <c r="L36" s="126"/>
      <c r="M36" s="126"/>
      <c r="N36" s="126"/>
      <c r="O36" s="126"/>
      <c r="P36" s="126"/>
    </row>
    <row r="37" spans="2:16" ht="16" customHeight="1">
      <c r="B37" s="137" t="s">
        <v>788</v>
      </c>
      <c r="C37" s="220">
        <f t="shared" si="6"/>
        <v>12.05</v>
      </c>
      <c r="D37" s="220">
        <f t="shared" si="6"/>
        <v>0.05</v>
      </c>
      <c r="E37" s="220">
        <f t="shared" si="6"/>
        <v>3.4499999999999997</v>
      </c>
      <c r="F37" s="220">
        <f t="shared" si="6"/>
        <v>6.3</v>
      </c>
      <c r="G37" s="220">
        <f t="shared" si="6"/>
        <v>8.6</v>
      </c>
      <c r="H37" s="220">
        <f t="shared" si="6"/>
        <v>5.25</v>
      </c>
      <c r="I37" s="220">
        <f t="shared" si="6"/>
        <v>35.699999999999996</v>
      </c>
      <c r="J37" s="143"/>
      <c r="K37" s="143"/>
      <c r="L37" s="220">
        <f t="shared" si="6"/>
        <v>1.55</v>
      </c>
      <c r="M37" s="220">
        <f t="shared" si="6"/>
        <v>2.98</v>
      </c>
      <c r="N37" s="220">
        <f t="shared" si="6"/>
        <v>2.7699999999999996</v>
      </c>
      <c r="O37" s="220">
        <f t="shared" si="6"/>
        <v>7.3</v>
      </c>
      <c r="P37" s="220">
        <f t="shared" si="6"/>
        <v>42.2</v>
      </c>
    </row>
    <row r="38" spans="2:16" ht="16" customHeight="1">
      <c r="B38" s="162" t="s">
        <v>789</v>
      </c>
      <c r="C38" s="221">
        <f>C37</f>
        <v>12.05</v>
      </c>
      <c r="D38" s="221">
        <f t="shared" ref="D38:H38" si="10">C38+D37</f>
        <v>12.100000000000001</v>
      </c>
      <c r="E38" s="221">
        <f t="shared" si="10"/>
        <v>15.55</v>
      </c>
      <c r="F38" s="221">
        <f t="shared" si="10"/>
        <v>21.85</v>
      </c>
      <c r="G38" s="221">
        <f t="shared" si="10"/>
        <v>30.450000000000003</v>
      </c>
      <c r="H38" s="221">
        <f t="shared" si="10"/>
        <v>35.700000000000003</v>
      </c>
      <c r="I38" s="221">
        <f>H38</f>
        <v>35.700000000000003</v>
      </c>
      <c r="J38" s="126"/>
      <c r="K38" s="126"/>
      <c r="L38" s="126"/>
      <c r="M38" s="126"/>
      <c r="N38" s="126"/>
      <c r="O38" s="126"/>
      <c r="P38" s="126"/>
    </row>
    <row r="39" spans="2:16" ht="16" customHeight="1"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</row>
    <row r="40" spans="2:16" ht="16" customHeight="1">
      <c r="B40" s="222" t="s">
        <v>493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</row>
    <row r="41" spans="2:16" ht="16" customHeight="1">
      <c r="B41" s="223" t="s">
        <v>494</v>
      </c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</row>
  </sheetData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18C2-B3CD-64D8-B0FE-2BDA7027D1A8}">
  <sheetPr>
    <tabColor rgb="FF3B7A3E"/>
  </sheetPr>
  <dimension ref="B1:L4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9" defaultRowHeight="16" customHeight="1"/>
  <cols>
    <col min="1" max="1" width="2.5" customWidth="1"/>
    <col min="2" max="2" width="127.5" customWidth="1"/>
    <col min="3" max="11" width="6" customWidth="1"/>
    <col min="12" max="12" width="6.83203125" customWidth="1"/>
  </cols>
  <sheetData>
    <row r="1" spans="2:12" ht="19.5" customHeight="1">
      <c r="B1" s="599" t="s">
        <v>790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</row>
    <row r="2" spans="2:12" ht="15" customHeight="1">
      <c r="B2" s="600" t="s">
        <v>791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4" spans="2:12" ht="18" customHeight="1">
      <c r="B4" s="125" t="s">
        <v>792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2:12" ht="16" customHeight="1">
      <c r="B5" s="127" t="s">
        <v>793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2:12" ht="16" customHeight="1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</row>
    <row r="7" spans="2:12" ht="16" customHeight="1">
      <c r="B7" s="216"/>
      <c r="C7" s="224" t="s">
        <v>331</v>
      </c>
      <c r="D7" s="224" t="s">
        <v>332</v>
      </c>
      <c r="E7" s="224" t="s">
        <v>333</v>
      </c>
      <c r="F7" s="224" t="s">
        <v>794</v>
      </c>
      <c r="G7" s="224" t="s">
        <v>334</v>
      </c>
      <c r="H7" s="224" t="s">
        <v>795</v>
      </c>
      <c r="I7" s="224" t="s">
        <v>335</v>
      </c>
      <c r="J7" s="224" t="s">
        <v>796</v>
      </c>
      <c r="K7" s="224" t="s">
        <v>552</v>
      </c>
      <c r="L7" s="224" t="s">
        <v>336</v>
      </c>
    </row>
    <row r="8" spans="2:12" ht="16" customHeight="1">
      <c r="B8" s="141" t="s">
        <v>797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</row>
    <row r="9" spans="2:12" ht="16" customHeight="1">
      <c r="B9" s="226" t="s">
        <v>798</v>
      </c>
      <c r="C9" s="227">
        <v>55</v>
      </c>
      <c r="D9" s="227">
        <v>55</v>
      </c>
      <c r="E9" s="227">
        <v>55</v>
      </c>
      <c r="F9" s="227">
        <v>55</v>
      </c>
      <c r="G9" s="227">
        <v>55</v>
      </c>
      <c r="H9" s="227">
        <v>55</v>
      </c>
      <c r="I9" s="227">
        <v>55</v>
      </c>
      <c r="J9" s="227">
        <v>55</v>
      </c>
      <c r="K9" s="227">
        <v>55</v>
      </c>
      <c r="L9" s="227">
        <v>55</v>
      </c>
    </row>
    <row r="10" spans="2:12" ht="16" customHeight="1">
      <c r="B10" s="132" t="s">
        <v>799</v>
      </c>
      <c r="C10" s="207">
        <v>365</v>
      </c>
      <c r="D10" s="207">
        <v>365</v>
      </c>
      <c r="E10" s="207">
        <v>365</v>
      </c>
      <c r="F10" s="207">
        <v>365</v>
      </c>
      <c r="G10" s="207">
        <v>365</v>
      </c>
      <c r="H10" s="207">
        <v>365</v>
      </c>
      <c r="I10" s="207">
        <v>365</v>
      </c>
      <c r="J10" s="207">
        <v>365</v>
      </c>
      <c r="K10" s="207">
        <v>365</v>
      </c>
      <c r="L10" s="207">
        <v>365</v>
      </c>
    </row>
    <row r="11" spans="2:12" ht="16" customHeight="1">
      <c r="B11" s="226" t="s">
        <v>800</v>
      </c>
      <c r="C11" s="227">
        <f t="shared" ref="C11:L11" si="0">C9*C10</f>
        <v>20075</v>
      </c>
      <c r="D11" s="227">
        <f t="shared" si="0"/>
        <v>20075</v>
      </c>
      <c r="E11" s="227">
        <f t="shared" si="0"/>
        <v>20075</v>
      </c>
      <c r="F11" s="227">
        <f t="shared" si="0"/>
        <v>20075</v>
      </c>
      <c r="G11" s="227">
        <f t="shared" si="0"/>
        <v>20075</v>
      </c>
      <c r="H11" s="227">
        <f t="shared" si="0"/>
        <v>20075</v>
      </c>
      <c r="I11" s="227">
        <f t="shared" si="0"/>
        <v>20075</v>
      </c>
      <c r="J11" s="227">
        <f t="shared" si="0"/>
        <v>20075</v>
      </c>
      <c r="K11" s="227">
        <f t="shared" si="0"/>
        <v>20075</v>
      </c>
      <c r="L11" s="227">
        <f t="shared" si="0"/>
        <v>20075</v>
      </c>
    </row>
    <row r="12" spans="2:12" ht="16" customHeight="1">
      <c r="B12" s="132"/>
      <c r="C12" s="126"/>
      <c r="D12" s="126"/>
      <c r="E12" s="126"/>
      <c r="F12" s="126"/>
      <c r="G12" s="126"/>
      <c r="H12" s="126"/>
      <c r="I12" s="126"/>
      <c r="J12" s="126"/>
      <c r="K12" s="126"/>
      <c r="L12" s="126"/>
    </row>
    <row r="13" spans="2:12" ht="16" customHeight="1">
      <c r="B13" s="141" t="s">
        <v>801</v>
      </c>
      <c r="C13" s="225"/>
      <c r="D13" s="225"/>
      <c r="E13" s="225"/>
      <c r="F13" s="225"/>
      <c r="G13" s="225"/>
      <c r="H13" s="225"/>
      <c r="I13" s="225"/>
      <c r="J13" s="225"/>
      <c r="K13" s="225"/>
      <c r="L13" s="225"/>
    </row>
    <row r="14" spans="2:12" ht="16" customHeight="1">
      <c r="B14" s="132" t="s">
        <v>553</v>
      </c>
      <c r="C14" s="228" cm="1">
        <f t="array" ref="C14">'3. Key Assumptions'!C26</f>
        <v>0.4</v>
      </c>
      <c r="D14" s="228" cm="1">
        <f t="array" ref="D14">'3. Key Assumptions'!D26</f>
        <v>0.6</v>
      </c>
      <c r="E14" s="228" cm="1">
        <f t="array" ref="E14">'3. Key Assumptions'!E26</f>
        <v>0.75</v>
      </c>
      <c r="F14" s="228" cm="1">
        <f t="array" ref="F14">'3. Key Assumptions'!F26</f>
        <v>0.77</v>
      </c>
      <c r="G14" s="228" cm="1">
        <f t="array" ref="G14">'3. Key Assumptions'!G26</f>
        <v>0.78</v>
      </c>
      <c r="H14" s="228" cm="1">
        <f t="array" ref="H14">'3. Key Assumptions'!H26</f>
        <v>0.78</v>
      </c>
      <c r="I14" s="228" cm="1">
        <f t="array" ref="I14">'3. Key Assumptions'!I26</f>
        <v>0.78</v>
      </c>
      <c r="J14" s="228" cm="1">
        <f t="array" ref="J14">'3. Key Assumptions'!J26</f>
        <v>0.78</v>
      </c>
      <c r="K14" s="228" cm="1">
        <f t="array" ref="K14">'3. Key Assumptions'!K26</f>
        <v>0.78</v>
      </c>
      <c r="L14" s="228" cm="1">
        <f t="array" ref="L14">'3. Key Assumptions'!L26</f>
        <v>0.78</v>
      </c>
    </row>
    <row r="15" spans="2:12" ht="16" customHeight="1">
      <c r="B15" s="226" t="s">
        <v>802</v>
      </c>
      <c r="C15" s="227">
        <f t="shared" ref="C15:L15" si="1">C11*C14</f>
        <v>8030</v>
      </c>
      <c r="D15" s="227">
        <f t="shared" si="1"/>
        <v>12045</v>
      </c>
      <c r="E15" s="227">
        <f t="shared" si="1"/>
        <v>15056.25</v>
      </c>
      <c r="F15" s="227">
        <f t="shared" si="1"/>
        <v>15457.75</v>
      </c>
      <c r="G15" s="227">
        <f t="shared" si="1"/>
        <v>15658.5</v>
      </c>
      <c r="H15" s="227">
        <f t="shared" si="1"/>
        <v>15658.5</v>
      </c>
      <c r="I15" s="227">
        <f t="shared" si="1"/>
        <v>15658.5</v>
      </c>
      <c r="J15" s="227">
        <f t="shared" si="1"/>
        <v>15658.5</v>
      </c>
      <c r="K15" s="227">
        <f t="shared" si="1"/>
        <v>15658.5</v>
      </c>
      <c r="L15" s="227">
        <f t="shared" si="1"/>
        <v>15658.5</v>
      </c>
    </row>
    <row r="16" spans="2:12" ht="16" customHeight="1">
      <c r="B16" s="132" t="s">
        <v>453</v>
      </c>
      <c r="C16" s="229">
        <v>3800</v>
      </c>
      <c r="D16" s="229">
        <v>4200</v>
      </c>
      <c r="E16" s="229">
        <v>4500</v>
      </c>
      <c r="F16" s="229">
        <v>4800</v>
      </c>
      <c r="G16" s="229">
        <v>5000</v>
      </c>
      <c r="H16" s="229">
        <v>5250</v>
      </c>
      <c r="I16" s="229">
        <v>5513</v>
      </c>
      <c r="J16" s="229">
        <v>5788</v>
      </c>
      <c r="K16" s="229">
        <v>6078</v>
      </c>
      <c r="L16" s="229">
        <v>6381</v>
      </c>
    </row>
    <row r="17" spans="2:12" ht="16" customHeight="1">
      <c r="B17" s="226" t="s">
        <v>572</v>
      </c>
      <c r="C17" s="230">
        <f t="shared" ref="C17:L17" si="2">C14*C16</f>
        <v>1520</v>
      </c>
      <c r="D17" s="230">
        <f t="shared" si="2"/>
        <v>2520</v>
      </c>
      <c r="E17" s="230">
        <f t="shared" si="2"/>
        <v>3375</v>
      </c>
      <c r="F17" s="230">
        <f t="shared" si="2"/>
        <v>3696</v>
      </c>
      <c r="G17" s="230">
        <f t="shared" si="2"/>
        <v>3900</v>
      </c>
      <c r="H17" s="230">
        <f t="shared" si="2"/>
        <v>4095</v>
      </c>
      <c r="I17" s="230">
        <f t="shared" si="2"/>
        <v>4300.1400000000003</v>
      </c>
      <c r="J17" s="230">
        <f t="shared" si="2"/>
        <v>4514.6400000000003</v>
      </c>
      <c r="K17" s="230">
        <f t="shared" si="2"/>
        <v>4740.84</v>
      </c>
      <c r="L17" s="230">
        <f t="shared" si="2"/>
        <v>4977.18</v>
      </c>
    </row>
    <row r="18" spans="2:12" ht="16" customHeight="1">
      <c r="B18" s="132"/>
      <c r="C18" s="126"/>
      <c r="D18" s="126"/>
      <c r="E18" s="126"/>
      <c r="F18" s="126"/>
      <c r="G18" s="126"/>
      <c r="H18" s="126"/>
      <c r="I18" s="126"/>
      <c r="J18" s="126"/>
      <c r="K18" s="126"/>
      <c r="L18" s="126"/>
    </row>
    <row r="19" spans="2:12" ht="16" customHeight="1">
      <c r="B19" s="231" t="s">
        <v>803</v>
      </c>
      <c r="C19" s="199"/>
      <c r="D19" s="199"/>
      <c r="E19" s="199"/>
      <c r="F19" s="199"/>
      <c r="G19" s="199"/>
      <c r="H19" s="199"/>
      <c r="I19" s="199"/>
      <c r="J19" s="199"/>
      <c r="K19" s="199"/>
      <c r="L19" s="199"/>
    </row>
    <row r="20" spans="2:12" ht="16" customHeight="1">
      <c r="B20" s="132" t="s">
        <v>626</v>
      </c>
      <c r="C20" s="219">
        <f t="shared" ref="C20:L20" si="3">C15*C16/10000000</f>
        <v>3.0514000000000001</v>
      </c>
      <c r="D20" s="219">
        <f t="shared" si="3"/>
        <v>5.0589000000000004</v>
      </c>
      <c r="E20" s="219">
        <f t="shared" si="3"/>
        <v>6.7753125000000001</v>
      </c>
      <c r="F20" s="219">
        <f t="shared" si="3"/>
        <v>7.4197199999999999</v>
      </c>
      <c r="G20" s="219">
        <f t="shared" si="3"/>
        <v>7.82925</v>
      </c>
      <c r="H20" s="219">
        <f t="shared" si="3"/>
        <v>8.2207124999999994</v>
      </c>
      <c r="I20" s="219">
        <f t="shared" si="3"/>
        <v>8.6325310500000008</v>
      </c>
      <c r="J20" s="219">
        <f t="shared" si="3"/>
        <v>9.0631398000000001</v>
      </c>
      <c r="K20" s="219">
        <f t="shared" si="3"/>
        <v>9.5172363000000004</v>
      </c>
      <c r="L20" s="219">
        <f t="shared" si="3"/>
        <v>9.9916888499999992</v>
      </c>
    </row>
    <row r="21" spans="2:12" ht="16" customHeight="1">
      <c r="B21" s="226" t="s">
        <v>628</v>
      </c>
      <c r="C21" s="232">
        <f t="shared" ref="C21:L21" si="4">C20/0.7*0.23</f>
        <v>1.0026028571428574</v>
      </c>
      <c r="D21" s="232">
        <f t="shared" si="4"/>
        <v>1.6622100000000004</v>
      </c>
      <c r="E21" s="232">
        <f t="shared" si="4"/>
        <v>2.2261741071428576</v>
      </c>
      <c r="F21" s="232">
        <f t="shared" si="4"/>
        <v>2.4379080000000002</v>
      </c>
      <c r="G21" s="232">
        <f t="shared" si="4"/>
        <v>2.5724678571428576</v>
      </c>
      <c r="H21" s="232">
        <f t="shared" si="4"/>
        <v>2.7010912499999997</v>
      </c>
      <c r="I21" s="232">
        <f t="shared" si="4"/>
        <v>2.8364030592857148</v>
      </c>
      <c r="J21" s="232">
        <f t="shared" si="4"/>
        <v>2.9778887914285717</v>
      </c>
      <c r="K21" s="232">
        <f t="shared" si="4"/>
        <v>3.1270919271428577</v>
      </c>
      <c r="L21" s="232">
        <f t="shared" si="4"/>
        <v>3.2829834792857144</v>
      </c>
    </row>
    <row r="22" spans="2:12" ht="16" customHeight="1">
      <c r="B22" s="132" t="s">
        <v>630</v>
      </c>
      <c r="C22" s="219">
        <f t="shared" ref="C22:L22" si="5">C20/0.7*0.07</f>
        <v>0.30514000000000002</v>
      </c>
      <c r="D22" s="219">
        <f t="shared" si="5"/>
        <v>0.50589000000000017</v>
      </c>
      <c r="E22" s="219">
        <f t="shared" si="5"/>
        <v>0.67753125000000014</v>
      </c>
      <c r="F22" s="219">
        <f t="shared" si="5"/>
        <v>0.74197200000000008</v>
      </c>
      <c r="G22" s="219">
        <f t="shared" si="5"/>
        <v>0.7829250000000002</v>
      </c>
      <c r="H22" s="219">
        <f t="shared" si="5"/>
        <v>0.82207125000000003</v>
      </c>
      <c r="I22" s="219">
        <f t="shared" si="5"/>
        <v>0.86325310500000019</v>
      </c>
      <c r="J22" s="219">
        <f t="shared" si="5"/>
        <v>0.90631398000000019</v>
      </c>
      <c r="K22" s="219">
        <f t="shared" si="5"/>
        <v>0.95172363000000026</v>
      </c>
      <c r="L22" s="219">
        <f t="shared" si="5"/>
        <v>0.99916888500000001</v>
      </c>
    </row>
    <row r="23" spans="2:12" ht="17.25" customHeight="1">
      <c r="B23" s="233" t="s">
        <v>804</v>
      </c>
      <c r="C23" s="234">
        <f t="shared" ref="C23:L23" si="6">SUM(C20:C22)</f>
        <v>4.3591428571428574</v>
      </c>
      <c r="D23" s="234">
        <f t="shared" si="6"/>
        <v>7.2270000000000012</v>
      </c>
      <c r="E23" s="234">
        <f t="shared" si="6"/>
        <v>9.679017857142858</v>
      </c>
      <c r="F23" s="234">
        <f t="shared" si="6"/>
        <v>10.599600000000001</v>
      </c>
      <c r="G23" s="234">
        <f t="shared" si="6"/>
        <v>11.184642857142858</v>
      </c>
      <c r="H23" s="234">
        <f t="shared" si="6"/>
        <v>11.743874999999999</v>
      </c>
      <c r="I23" s="234">
        <f t="shared" si="6"/>
        <v>12.332187214285716</v>
      </c>
      <c r="J23" s="234">
        <f t="shared" si="6"/>
        <v>12.947342571428571</v>
      </c>
      <c r="K23" s="234">
        <f t="shared" si="6"/>
        <v>13.596051857142857</v>
      </c>
      <c r="L23" s="234">
        <f t="shared" si="6"/>
        <v>14.273841214285714</v>
      </c>
    </row>
    <row r="24" spans="2:12" ht="17.25" customHeight="1">
      <c r="B24" s="132"/>
      <c r="C24" s="126"/>
      <c r="D24" s="126"/>
      <c r="E24" s="126"/>
      <c r="F24" s="126"/>
      <c r="G24" s="126"/>
      <c r="H24" s="126"/>
      <c r="I24" s="126"/>
      <c r="J24" s="126"/>
      <c r="K24" s="126"/>
      <c r="L24" s="126"/>
    </row>
    <row r="25" spans="2:12" ht="32.25" customHeight="1">
      <c r="B25" s="141" t="s">
        <v>805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</row>
    <row r="26" spans="2:12" ht="16" customHeight="1">
      <c r="B26" s="132" t="s">
        <v>806</v>
      </c>
      <c r="C26" s="219">
        <f t="shared" ref="C26:L26" si="7">C20*0.28</f>
        <v>0.85439200000000015</v>
      </c>
      <c r="D26" s="219">
        <f t="shared" si="7"/>
        <v>1.4164920000000003</v>
      </c>
      <c r="E26" s="219">
        <f t="shared" si="7"/>
        <v>1.8970875000000003</v>
      </c>
      <c r="F26" s="219">
        <f t="shared" si="7"/>
        <v>2.0775216000000003</v>
      </c>
      <c r="G26" s="219">
        <f t="shared" si="7"/>
        <v>2.1921900000000001</v>
      </c>
      <c r="H26" s="219">
        <f t="shared" si="7"/>
        <v>2.3017995</v>
      </c>
      <c r="I26" s="219">
        <f t="shared" si="7"/>
        <v>2.4171086940000004</v>
      </c>
      <c r="J26" s="219">
        <f t="shared" si="7"/>
        <v>2.5376791440000002</v>
      </c>
      <c r="K26" s="219">
        <f t="shared" si="7"/>
        <v>2.6648261640000004</v>
      </c>
      <c r="L26" s="219">
        <f t="shared" si="7"/>
        <v>2.7976728780000002</v>
      </c>
    </row>
    <row r="27" spans="2:12" ht="16" customHeight="1">
      <c r="B27" s="226" t="s">
        <v>807</v>
      </c>
      <c r="C27" s="232">
        <f t="shared" ref="C27:L27" si="8">C20*0.35</f>
        <v>1.06799</v>
      </c>
      <c r="D27" s="232">
        <f t="shared" si="8"/>
        <v>1.770615</v>
      </c>
      <c r="E27" s="232">
        <f t="shared" si="8"/>
        <v>2.3713593749999999</v>
      </c>
      <c r="F27" s="232">
        <f t="shared" si="8"/>
        <v>2.5969019999999996</v>
      </c>
      <c r="G27" s="232">
        <f t="shared" si="8"/>
        <v>2.7402374999999997</v>
      </c>
      <c r="H27" s="232">
        <f t="shared" si="8"/>
        <v>2.8772493749999994</v>
      </c>
      <c r="I27" s="232">
        <f t="shared" si="8"/>
        <v>3.0213858675000003</v>
      </c>
      <c r="J27" s="232">
        <f t="shared" si="8"/>
        <v>3.1720989299999998</v>
      </c>
      <c r="K27" s="232">
        <f t="shared" si="8"/>
        <v>3.3310327050000001</v>
      </c>
      <c r="L27" s="232">
        <f t="shared" si="8"/>
        <v>3.4970910974999994</v>
      </c>
    </row>
    <row r="28" spans="2:12" ht="16" customHeight="1">
      <c r="B28" s="132" t="s">
        <v>808</v>
      </c>
      <c r="C28" s="219">
        <f t="shared" ref="C28:L28" si="9">C20*0.22</f>
        <v>0.67130800000000002</v>
      </c>
      <c r="D28" s="219">
        <f t="shared" si="9"/>
        <v>1.1129580000000001</v>
      </c>
      <c r="E28" s="219">
        <f t="shared" si="9"/>
        <v>1.49056875</v>
      </c>
      <c r="F28" s="219">
        <f t="shared" si="9"/>
        <v>1.6323384000000001</v>
      </c>
      <c r="G28" s="219">
        <f t="shared" si="9"/>
        <v>1.7224349999999999</v>
      </c>
      <c r="H28" s="219">
        <f t="shared" si="9"/>
        <v>1.8085567499999999</v>
      </c>
      <c r="I28" s="219">
        <f t="shared" si="9"/>
        <v>1.8991568310000002</v>
      </c>
      <c r="J28" s="219">
        <f t="shared" si="9"/>
        <v>1.9938907560000001</v>
      </c>
      <c r="K28" s="219">
        <f t="shared" si="9"/>
        <v>2.0937919860000003</v>
      </c>
      <c r="L28" s="219">
        <f t="shared" si="9"/>
        <v>2.1981715469999998</v>
      </c>
    </row>
    <row r="29" spans="2:12" ht="16" customHeight="1">
      <c r="B29" s="226" t="s">
        <v>809</v>
      </c>
      <c r="C29" s="232">
        <f t="shared" ref="C29:L29" si="10">C20*0.08</f>
        <v>0.24411200000000002</v>
      </c>
      <c r="D29" s="232">
        <f t="shared" si="10"/>
        <v>0.40471200000000002</v>
      </c>
      <c r="E29" s="232">
        <f t="shared" si="10"/>
        <v>0.54202499999999998</v>
      </c>
      <c r="F29" s="232">
        <f t="shared" si="10"/>
        <v>0.59357760000000004</v>
      </c>
      <c r="G29" s="232">
        <f t="shared" si="10"/>
        <v>0.62634000000000001</v>
      </c>
      <c r="H29" s="232">
        <f t="shared" si="10"/>
        <v>0.65765699999999994</v>
      </c>
      <c r="I29" s="232">
        <f t="shared" si="10"/>
        <v>0.69060248400000013</v>
      </c>
      <c r="J29" s="232">
        <f t="shared" si="10"/>
        <v>0.72505118400000002</v>
      </c>
      <c r="K29" s="232">
        <f t="shared" si="10"/>
        <v>0.76137890400000008</v>
      </c>
      <c r="L29" s="232">
        <f t="shared" si="10"/>
        <v>0.79933510799999996</v>
      </c>
    </row>
    <row r="30" spans="2:12" ht="16" customHeight="1">
      <c r="B30" s="132" t="s">
        <v>810</v>
      </c>
      <c r="C30" s="219">
        <f t="shared" ref="C30:L30" si="11">C20*0.07</f>
        <v>0.21359800000000004</v>
      </c>
      <c r="D30" s="219">
        <f t="shared" si="11"/>
        <v>0.35412300000000008</v>
      </c>
      <c r="E30" s="219">
        <f t="shared" si="11"/>
        <v>0.47427187500000006</v>
      </c>
      <c r="F30" s="219">
        <f t="shared" si="11"/>
        <v>0.51938040000000008</v>
      </c>
      <c r="G30" s="219">
        <f t="shared" si="11"/>
        <v>0.54804750000000002</v>
      </c>
      <c r="H30" s="219">
        <f t="shared" si="11"/>
        <v>0.575449875</v>
      </c>
      <c r="I30" s="219">
        <f t="shared" si="11"/>
        <v>0.6042771735000001</v>
      </c>
      <c r="J30" s="219">
        <f t="shared" si="11"/>
        <v>0.63441978600000004</v>
      </c>
      <c r="K30" s="219">
        <f t="shared" si="11"/>
        <v>0.6662065410000001</v>
      </c>
      <c r="L30" s="219">
        <f t="shared" si="11"/>
        <v>0.69941821950000005</v>
      </c>
    </row>
    <row r="31" spans="2:12" ht="16" customHeight="1">
      <c r="B31" s="149" t="s">
        <v>811</v>
      </c>
      <c r="C31" s="219">
        <f t="shared" ref="C31:L31" si="12">SUM(C26:C30)</f>
        <v>3.0514000000000006</v>
      </c>
      <c r="D31" s="219">
        <f t="shared" si="12"/>
        <v>5.0589000000000004</v>
      </c>
      <c r="E31" s="219">
        <f t="shared" si="12"/>
        <v>6.7753125000000001</v>
      </c>
      <c r="F31" s="219">
        <f t="shared" si="12"/>
        <v>7.4197199999999999</v>
      </c>
      <c r="G31" s="219">
        <f t="shared" si="12"/>
        <v>7.8292499999999992</v>
      </c>
      <c r="H31" s="219">
        <f t="shared" si="12"/>
        <v>8.2207124999999994</v>
      </c>
      <c r="I31" s="219">
        <f t="shared" si="12"/>
        <v>8.6325310500000008</v>
      </c>
      <c r="J31" s="219">
        <f t="shared" si="12"/>
        <v>9.0631398000000001</v>
      </c>
      <c r="K31" s="219">
        <f t="shared" si="12"/>
        <v>9.5172363000000022</v>
      </c>
      <c r="L31" s="219">
        <f t="shared" si="12"/>
        <v>9.9916888499999992</v>
      </c>
    </row>
    <row r="32" spans="2:12" ht="16" customHeight="1">
      <c r="B32" s="132"/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  <row r="33" spans="2:12" ht="16" customHeight="1">
      <c r="B33" s="147" t="s">
        <v>812</v>
      </c>
      <c r="C33" s="235"/>
      <c r="D33" s="235"/>
      <c r="E33" s="235"/>
      <c r="F33" s="235"/>
      <c r="G33" s="235"/>
      <c r="H33" s="235"/>
      <c r="I33" s="235"/>
      <c r="J33" s="235"/>
      <c r="K33" s="235"/>
      <c r="L33" s="235"/>
    </row>
    <row r="34" spans="2:12" ht="16" customHeight="1">
      <c r="B34" s="132" t="s">
        <v>813</v>
      </c>
      <c r="C34" s="195">
        <v>0.6</v>
      </c>
      <c r="D34" s="195">
        <v>0.8</v>
      </c>
      <c r="E34" s="195">
        <v>1</v>
      </c>
      <c r="F34" s="195">
        <v>1</v>
      </c>
      <c r="G34" s="195">
        <v>1</v>
      </c>
      <c r="H34" s="195">
        <v>1</v>
      </c>
      <c r="I34" s="195">
        <v>1</v>
      </c>
      <c r="J34" s="195">
        <v>1</v>
      </c>
      <c r="K34" s="195">
        <v>1</v>
      </c>
      <c r="L34" s="195">
        <v>1</v>
      </c>
    </row>
    <row r="35" spans="2:12" ht="16" customHeight="1">
      <c r="B35" s="132" t="s">
        <v>814</v>
      </c>
      <c r="C35" s="133">
        <v>180</v>
      </c>
      <c r="D35" s="126"/>
      <c r="E35" s="126"/>
      <c r="F35" s="126"/>
      <c r="G35" s="126"/>
      <c r="H35" s="126"/>
      <c r="I35" s="126"/>
      <c r="J35" s="126"/>
      <c r="K35" s="126"/>
      <c r="L35" s="126"/>
    </row>
    <row r="36" spans="2:12" ht="16" customHeight="1">
      <c r="B36" s="132" t="s">
        <v>815</v>
      </c>
      <c r="C36" s="207">
        <f t="shared" ref="C36:L36" si="13">$C$35*12*C34</f>
        <v>1296</v>
      </c>
      <c r="D36" s="207">
        <f t="shared" si="13"/>
        <v>1728</v>
      </c>
      <c r="E36" s="207">
        <f t="shared" si="13"/>
        <v>2160</v>
      </c>
      <c r="F36" s="207">
        <f t="shared" si="13"/>
        <v>2160</v>
      </c>
      <c r="G36" s="207">
        <f t="shared" si="13"/>
        <v>2160</v>
      </c>
      <c r="H36" s="207">
        <f t="shared" si="13"/>
        <v>2160</v>
      </c>
      <c r="I36" s="207">
        <f t="shared" si="13"/>
        <v>2160</v>
      </c>
      <c r="J36" s="207">
        <f t="shared" si="13"/>
        <v>2160</v>
      </c>
      <c r="K36" s="207">
        <f t="shared" si="13"/>
        <v>2160</v>
      </c>
      <c r="L36" s="207">
        <f t="shared" si="13"/>
        <v>2160</v>
      </c>
    </row>
    <row r="37" spans="2:12" ht="16" customHeight="1">
      <c r="B37" s="132" t="s">
        <v>816</v>
      </c>
      <c r="C37" s="150">
        <f t="shared" ref="C37:L37" si="14">C36/C15</f>
        <v>0.16139476961394769</v>
      </c>
      <c r="D37" s="150">
        <f t="shared" si="14"/>
        <v>0.14346201743462017</v>
      </c>
      <c r="E37" s="150">
        <f t="shared" si="14"/>
        <v>0.14346201743462017</v>
      </c>
      <c r="F37" s="150">
        <f t="shared" si="14"/>
        <v>0.13973573126748717</v>
      </c>
      <c r="G37" s="150">
        <f t="shared" si="14"/>
        <v>0.13794424753328863</v>
      </c>
      <c r="H37" s="150">
        <f t="shared" si="14"/>
        <v>0.13794424753328863</v>
      </c>
      <c r="I37" s="150">
        <f t="shared" si="14"/>
        <v>0.13794424753328863</v>
      </c>
      <c r="J37" s="150">
        <f t="shared" si="14"/>
        <v>0.13794424753328863</v>
      </c>
      <c r="K37" s="150">
        <f t="shared" si="14"/>
        <v>0.13794424753328863</v>
      </c>
      <c r="L37" s="150">
        <f t="shared" si="14"/>
        <v>0.13794424753328863</v>
      </c>
    </row>
    <row r="38" spans="2:12" ht="16" customHeight="1">
      <c r="B38" s="126" t="s">
        <v>817</v>
      </c>
      <c r="C38" s="150">
        <f t="shared" ref="C38:L38" si="15">C36/C11</f>
        <v>6.4557907845579077E-2</v>
      </c>
      <c r="D38" s="150">
        <f t="shared" si="15"/>
        <v>8.6077210460772102E-2</v>
      </c>
      <c r="E38" s="150">
        <f t="shared" si="15"/>
        <v>0.10759651307596513</v>
      </c>
      <c r="F38" s="150">
        <f t="shared" si="15"/>
        <v>0.10759651307596513</v>
      </c>
      <c r="G38" s="150">
        <f t="shared" si="15"/>
        <v>0.10759651307596513</v>
      </c>
      <c r="H38" s="150">
        <f t="shared" si="15"/>
        <v>0.10759651307596513</v>
      </c>
      <c r="I38" s="150">
        <f t="shared" si="15"/>
        <v>0.10759651307596513</v>
      </c>
      <c r="J38" s="150">
        <f t="shared" si="15"/>
        <v>0.10759651307596513</v>
      </c>
      <c r="K38" s="150">
        <f t="shared" si="15"/>
        <v>0.10759651307596513</v>
      </c>
      <c r="L38" s="150">
        <f t="shared" si="15"/>
        <v>0.10759651307596513</v>
      </c>
    </row>
    <row r="39" spans="2:12" ht="16" customHeight="1"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</row>
    <row r="40" spans="2:12" ht="16" customHeight="1">
      <c r="B40" s="142" t="s">
        <v>818</v>
      </c>
      <c r="C40" s="225"/>
      <c r="D40" s="225"/>
      <c r="E40" s="225"/>
      <c r="F40" s="225"/>
      <c r="G40" s="225"/>
      <c r="H40" s="225"/>
      <c r="I40" s="225"/>
      <c r="J40" s="225"/>
      <c r="K40" s="225"/>
      <c r="L40" s="225"/>
    </row>
    <row r="41" spans="2:12" ht="16" customHeight="1">
      <c r="B41" s="126" t="s">
        <v>819</v>
      </c>
      <c r="C41" s="126"/>
      <c r="D41" s="150">
        <f t="shared" ref="D41:L41" si="16">D23/C23-1</f>
        <v>0.65789473684210553</v>
      </c>
      <c r="E41" s="150">
        <f t="shared" si="16"/>
        <v>0.33928571428571419</v>
      </c>
      <c r="F41" s="150">
        <f t="shared" si="16"/>
        <v>9.5111111111111146E-2</v>
      </c>
      <c r="G41" s="150">
        <f t="shared" si="16"/>
        <v>5.5194805194805241E-2</v>
      </c>
      <c r="H41" s="150">
        <f t="shared" si="16"/>
        <v>4.9999999999999822E-2</v>
      </c>
      <c r="I41" s="150">
        <f t="shared" si="16"/>
        <v>5.0095238095238193E-2</v>
      </c>
      <c r="J41" s="150">
        <f t="shared" si="16"/>
        <v>4.9882096861962433E-2</v>
      </c>
      <c r="K41" s="150">
        <f t="shared" si="16"/>
        <v>5.0103662750518252E-2</v>
      </c>
      <c r="L41" s="150">
        <f t="shared" si="16"/>
        <v>4.9851924975320872E-2</v>
      </c>
    </row>
    <row r="42" spans="2:12" ht="16" customHeight="1">
      <c r="B42" s="126" t="s">
        <v>820</v>
      </c>
      <c r="C42" s="126"/>
      <c r="D42" s="150">
        <f t="shared" ref="D42:L42" si="17">D17/C17-1</f>
        <v>0.65789473684210531</v>
      </c>
      <c r="E42" s="150">
        <f t="shared" si="17"/>
        <v>0.33928571428571419</v>
      </c>
      <c r="F42" s="150">
        <f t="shared" si="17"/>
        <v>9.5111111111111146E-2</v>
      </c>
      <c r="G42" s="150">
        <f t="shared" si="17"/>
        <v>5.5194805194805241E-2</v>
      </c>
      <c r="H42" s="150">
        <f t="shared" si="17"/>
        <v>5.0000000000000044E-2</v>
      </c>
      <c r="I42" s="150">
        <f t="shared" si="17"/>
        <v>5.0095238095238193E-2</v>
      </c>
      <c r="J42" s="150">
        <f t="shared" si="17"/>
        <v>4.9882096861962655E-2</v>
      </c>
      <c r="K42" s="150">
        <f t="shared" si="17"/>
        <v>5.0103662750518252E-2</v>
      </c>
      <c r="L42" s="150">
        <f t="shared" si="17"/>
        <v>4.9851924975320872E-2</v>
      </c>
    </row>
    <row r="43" spans="2:12" ht="16" customHeight="1"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</row>
    <row r="44" spans="2:12" ht="16" customHeight="1">
      <c r="B44" s="222" t="s">
        <v>493</v>
      </c>
      <c r="C44" s="126"/>
      <c r="D44" s="126"/>
      <c r="E44" s="126"/>
      <c r="F44" s="126"/>
      <c r="G44" s="126"/>
      <c r="H44" s="126"/>
      <c r="I44" s="126"/>
      <c r="J44" s="126"/>
      <c r="K44" s="126"/>
      <c r="L44" s="126"/>
    </row>
    <row r="45" spans="2:12" ht="16" customHeight="1">
      <c r="B45" s="223" t="s">
        <v>494</v>
      </c>
      <c r="C45" s="126"/>
      <c r="D45" s="126"/>
      <c r="E45" s="126"/>
      <c r="F45" s="126"/>
      <c r="G45" s="126"/>
      <c r="H45" s="126"/>
      <c r="I45" s="126"/>
      <c r="J45" s="126"/>
      <c r="K45" s="126"/>
      <c r="L45" s="126"/>
    </row>
  </sheetData>
  <mergeCells count="2">
    <mergeCell ref="B1:L1"/>
    <mergeCell ref="B2:L2"/>
  </mergeCell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B2DD-925C-2FA1-6823-059EE3B67385}">
  <sheetPr>
    <tabColor rgb="FF3B7A3E"/>
  </sheetPr>
  <dimension ref="B1:M3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0" sqref="C10"/>
    </sheetView>
  </sheetViews>
  <sheetFormatPr baseColWidth="10" defaultColWidth="9" defaultRowHeight="16" customHeight="1"/>
  <cols>
    <col min="1" max="1" width="2.5" customWidth="1"/>
    <col min="2" max="2" width="127.5" customWidth="1"/>
    <col min="3" max="11" width="6" customWidth="1"/>
    <col min="12" max="12" width="6.83203125" customWidth="1"/>
  </cols>
  <sheetData>
    <row r="1" spans="2:13" ht="22.5" customHeight="1">
      <c r="B1" s="596" t="s">
        <v>821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</row>
    <row r="2" spans="2:13" ht="15" customHeight="1">
      <c r="B2" s="569" t="s">
        <v>496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4" spans="2:13" ht="18" customHeight="1">
      <c r="B4" s="125" t="s">
        <v>822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2:13" ht="16" customHeight="1">
      <c r="B5" s="127" t="s">
        <v>823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2:13" ht="16" customHeight="1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</row>
    <row r="7" spans="2:13" ht="16" customHeight="1">
      <c r="B7" s="216"/>
      <c r="C7" s="224" t="s">
        <v>331</v>
      </c>
      <c r="D7" s="224" t="s">
        <v>332</v>
      </c>
      <c r="E7" s="224" t="s">
        <v>333</v>
      </c>
      <c r="F7" s="224" t="s">
        <v>794</v>
      </c>
      <c r="G7" s="224" t="s">
        <v>334</v>
      </c>
      <c r="H7" s="224" t="s">
        <v>795</v>
      </c>
      <c r="I7" s="224" t="s">
        <v>335</v>
      </c>
      <c r="J7" s="224" t="s">
        <v>796</v>
      </c>
      <c r="K7" s="224" t="s">
        <v>552</v>
      </c>
      <c r="L7" s="224" t="s">
        <v>336</v>
      </c>
    </row>
    <row r="8" spans="2:13" ht="16" customHeight="1">
      <c r="B8" s="141" t="s">
        <v>824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</row>
    <row r="9" spans="2:13" ht="16" customHeight="1">
      <c r="B9" s="132" t="s">
        <v>825</v>
      </c>
      <c r="C9" s="207">
        <v>55</v>
      </c>
      <c r="D9" s="207">
        <v>55</v>
      </c>
      <c r="E9" s="207">
        <v>55</v>
      </c>
      <c r="F9" s="207">
        <v>55</v>
      </c>
      <c r="G9" s="207">
        <v>55</v>
      </c>
      <c r="H9" s="207">
        <v>55</v>
      </c>
      <c r="I9" s="207">
        <v>55</v>
      </c>
      <c r="J9" s="207">
        <v>55</v>
      </c>
      <c r="K9" s="207">
        <v>55</v>
      </c>
      <c r="L9" s="207">
        <v>55</v>
      </c>
    </row>
    <row r="10" spans="2:13" ht="16" customHeight="1">
      <c r="B10" s="132" t="s">
        <v>826</v>
      </c>
      <c r="C10" s="150" cm="1">
        <f t="array" ref="C10">'3. Key Assumptions'!C26</f>
        <v>0.4</v>
      </c>
      <c r="D10" s="150" cm="1">
        <f t="array" ref="D10">'3. Key Assumptions'!D26</f>
        <v>0.6</v>
      </c>
      <c r="E10" s="150" cm="1">
        <f t="array" ref="E10">'3. Key Assumptions'!E26</f>
        <v>0.75</v>
      </c>
      <c r="F10" s="150" cm="1">
        <f t="array" ref="F10">'3. Key Assumptions'!F26</f>
        <v>0.77</v>
      </c>
      <c r="G10" s="150" cm="1">
        <f t="array" ref="G10">'3. Key Assumptions'!G26</f>
        <v>0.78</v>
      </c>
      <c r="H10" s="150" cm="1">
        <f t="array" ref="H10">'3. Key Assumptions'!H26</f>
        <v>0.78</v>
      </c>
      <c r="I10" s="150" cm="1">
        <f t="array" ref="I10">'3. Key Assumptions'!I26</f>
        <v>0.78</v>
      </c>
      <c r="J10" s="150" cm="1">
        <f t="array" ref="J10">'3. Key Assumptions'!J26</f>
        <v>0.78</v>
      </c>
      <c r="K10" s="150" cm="1">
        <f t="array" ref="K10">'3. Key Assumptions'!K26</f>
        <v>0.78</v>
      </c>
      <c r="L10" s="150" cm="1">
        <f t="array" ref="L10">'3. Key Assumptions'!L26</f>
        <v>0.78</v>
      </c>
    </row>
    <row r="11" spans="2:13" ht="16" customHeight="1">
      <c r="B11" s="132" t="s">
        <v>827</v>
      </c>
      <c r="C11" s="207">
        <f t="shared" ref="C11:L11" si="0">C9*365*C10</f>
        <v>8030</v>
      </c>
      <c r="D11" s="207">
        <f t="shared" si="0"/>
        <v>12045</v>
      </c>
      <c r="E11" s="207">
        <f t="shared" si="0"/>
        <v>15056.25</v>
      </c>
      <c r="F11" s="207">
        <f t="shared" si="0"/>
        <v>15457.75</v>
      </c>
      <c r="G11" s="207">
        <f t="shared" si="0"/>
        <v>15658.5</v>
      </c>
      <c r="H11" s="207">
        <f t="shared" si="0"/>
        <v>15658.5</v>
      </c>
      <c r="I11" s="207">
        <f t="shared" si="0"/>
        <v>15658.5</v>
      </c>
      <c r="J11" s="207">
        <f t="shared" si="0"/>
        <v>15658.5</v>
      </c>
      <c r="K11" s="207">
        <f t="shared" si="0"/>
        <v>15658.5</v>
      </c>
      <c r="L11" s="207">
        <f t="shared" si="0"/>
        <v>15658.5</v>
      </c>
    </row>
    <row r="12" spans="2:13" ht="16" customHeight="1">
      <c r="B12" s="132" t="s">
        <v>828</v>
      </c>
      <c r="C12" s="169">
        <v>3800</v>
      </c>
      <c r="D12" s="169">
        <v>4200</v>
      </c>
      <c r="E12" s="169">
        <v>4500</v>
      </c>
      <c r="F12" s="169">
        <v>4800</v>
      </c>
      <c r="G12" s="169">
        <v>5000</v>
      </c>
      <c r="H12" s="169">
        <v>5250</v>
      </c>
      <c r="I12" s="169">
        <v>5513</v>
      </c>
      <c r="J12" s="169">
        <v>5788</v>
      </c>
      <c r="K12" s="169">
        <v>6078</v>
      </c>
      <c r="L12" s="169">
        <v>6381</v>
      </c>
    </row>
    <row r="13" spans="2:13" ht="16" customHeight="1">
      <c r="B13" s="132" t="s">
        <v>829</v>
      </c>
      <c r="C13" s="219">
        <f t="shared" ref="C13:L22" si="1">C11*C12/10000000</f>
        <v>3.0514000000000001</v>
      </c>
      <c r="D13" s="219">
        <f t="shared" si="1"/>
        <v>5.0589000000000004</v>
      </c>
      <c r="E13" s="219">
        <f t="shared" si="1"/>
        <v>6.7753125000000001</v>
      </c>
      <c r="F13" s="219">
        <f t="shared" si="1"/>
        <v>7.4197199999999999</v>
      </c>
      <c r="G13" s="219">
        <f t="shared" si="1"/>
        <v>7.82925</v>
      </c>
      <c r="H13" s="219">
        <f t="shared" si="1"/>
        <v>8.2207124999999994</v>
      </c>
      <c r="I13" s="219">
        <f t="shared" si="1"/>
        <v>8.6325310500000008</v>
      </c>
      <c r="J13" s="219">
        <f t="shared" si="1"/>
        <v>9.0631398000000001</v>
      </c>
      <c r="K13" s="219">
        <f t="shared" si="1"/>
        <v>9.5172363000000004</v>
      </c>
      <c r="L13" s="219">
        <f t="shared" si="1"/>
        <v>9.9916888499999992</v>
      </c>
    </row>
    <row r="14" spans="2:13" ht="16" customHeight="1">
      <c r="B14" s="132"/>
      <c r="C14" s="126"/>
      <c r="D14" s="126"/>
      <c r="E14" s="126"/>
      <c r="F14" s="126"/>
      <c r="G14" s="126"/>
      <c r="H14" s="126"/>
      <c r="I14" s="126"/>
      <c r="J14" s="126"/>
      <c r="K14" s="126"/>
      <c r="L14" s="126"/>
    </row>
    <row r="15" spans="2:13" ht="32.25" customHeight="1">
      <c r="B15" s="151" t="s">
        <v>830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</row>
    <row r="16" spans="2:13" ht="16" customHeight="1">
      <c r="B16" s="132" t="s">
        <v>831</v>
      </c>
      <c r="C16" s="126">
        <v>0</v>
      </c>
      <c r="D16" s="126">
        <v>0</v>
      </c>
      <c r="E16" s="126">
        <v>0</v>
      </c>
      <c r="F16" s="126">
        <v>17</v>
      </c>
      <c r="G16" s="126">
        <v>17</v>
      </c>
      <c r="H16" s="126">
        <v>17</v>
      </c>
      <c r="I16" s="126">
        <v>17</v>
      </c>
      <c r="J16" s="126">
        <v>17</v>
      </c>
      <c r="K16" s="126">
        <v>17</v>
      </c>
      <c r="L16" s="126">
        <v>17</v>
      </c>
    </row>
    <row r="17" spans="2:12" ht="16" customHeight="1">
      <c r="B17" s="132" t="s">
        <v>832</v>
      </c>
      <c r="C17" s="126">
        <v>0</v>
      </c>
      <c r="D17" s="126">
        <v>0</v>
      </c>
      <c r="E17" s="126">
        <v>0</v>
      </c>
      <c r="F17" s="126">
        <v>9</v>
      </c>
      <c r="G17" s="126">
        <v>12</v>
      </c>
      <c r="H17" s="126">
        <v>12</v>
      </c>
      <c r="I17" s="126">
        <v>12</v>
      </c>
      <c r="J17" s="126">
        <v>12</v>
      </c>
      <c r="K17" s="126">
        <v>12</v>
      </c>
      <c r="L17" s="126">
        <v>12</v>
      </c>
    </row>
    <row r="18" spans="2:12" ht="16" customHeight="1">
      <c r="B18" s="132" t="s">
        <v>833</v>
      </c>
      <c r="C18" s="181">
        <v>0</v>
      </c>
      <c r="D18" s="181">
        <v>0</v>
      </c>
      <c r="E18" s="181">
        <v>0</v>
      </c>
      <c r="F18" s="181" t="str" cm="1">
        <f t="array" ref="F18">'3. Key Assumptions'!F32</f>
        <v>Recommended Hurdle Rates:</v>
      </c>
      <c r="G18" s="181" cm="1">
        <f t="array" ref="G18">'3. Key Assumptions'!G32</f>
        <v>0</v>
      </c>
      <c r="H18" s="181" cm="1">
        <f t="array" ref="H18">'3. Key Assumptions'!H32</f>
        <v>0</v>
      </c>
      <c r="I18" s="181" cm="1">
        <f t="array" ref="I18">'3. Key Assumptions'!I32</f>
        <v>0</v>
      </c>
      <c r="J18" s="181" cm="1">
        <f t="array" ref="J18">'3. Key Assumptions'!J32</f>
        <v>0</v>
      </c>
      <c r="K18" s="181" cm="1">
        <f t="array" ref="K18">'3. Key Assumptions'!K32</f>
        <v>0</v>
      </c>
      <c r="L18" s="181" cm="1">
        <f t="array" ref="L18">'3. Key Assumptions'!L32</f>
        <v>0</v>
      </c>
    </row>
    <row r="19" spans="2:12" ht="16" customHeight="1">
      <c r="B19" s="132" t="s">
        <v>834</v>
      </c>
      <c r="C19" s="207">
        <f t="shared" ref="C19:L19" si="2">C16*C17*30.4</f>
        <v>0</v>
      </c>
      <c r="D19" s="207">
        <f t="shared" si="2"/>
        <v>0</v>
      </c>
      <c r="E19" s="207">
        <f t="shared" si="2"/>
        <v>0</v>
      </c>
      <c r="F19" s="207">
        <f t="shared" si="2"/>
        <v>4651.2</v>
      </c>
      <c r="G19" s="207">
        <f t="shared" si="2"/>
        <v>6201.5999999999995</v>
      </c>
      <c r="H19" s="207">
        <f t="shared" si="2"/>
        <v>6201.5999999999995</v>
      </c>
      <c r="I19" s="207">
        <f t="shared" si="2"/>
        <v>6201.5999999999995</v>
      </c>
      <c r="J19" s="207">
        <f t="shared" si="2"/>
        <v>6201.5999999999995</v>
      </c>
      <c r="K19" s="207">
        <f t="shared" si="2"/>
        <v>6201.5999999999995</v>
      </c>
      <c r="L19" s="207">
        <f t="shared" si="2"/>
        <v>6201.5999999999995</v>
      </c>
    </row>
    <row r="20" spans="2:12" ht="16" customHeight="1">
      <c r="B20" s="132" t="s">
        <v>835</v>
      </c>
      <c r="C20" s="207">
        <f t="shared" ref="C20:L20" si="3">C19*C18</f>
        <v>0</v>
      </c>
      <c r="D20" s="207">
        <f t="shared" si="3"/>
        <v>0</v>
      </c>
      <c r="E20" s="207">
        <f t="shared" si="3"/>
        <v>0</v>
      </c>
      <c r="F20" s="207" t="e">
        <f t="shared" si="3"/>
        <v>#VALUE!</v>
      </c>
      <c r="G20" s="207">
        <f t="shared" si="3"/>
        <v>0</v>
      </c>
      <c r="H20" s="207">
        <f t="shared" si="3"/>
        <v>0</v>
      </c>
      <c r="I20" s="207">
        <f t="shared" si="3"/>
        <v>0</v>
      </c>
      <c r="J20" s="207">
        <f t="shared" si="3"/>
        <v>0</v>
      </c>
      <c r="K20" s="207">
        <f t="shared" si="3"/>
        <v>0</v>
      </c>
      <c r="L20" s="207">
        <f t="shared" si="3"/>
        <v>0</v>
      </c>
    </row>
    <row r="21" spans="2:12" ht="16" customHeight="1">
      <c r="B21" s="132" t="s">
        <v>836</v>
      </c>
      <c r="C21" s="169">
        <v>0</v>
      </c>
      <c r="D21" s="169">
        <v>0</v>
      </c>
      <c r="E21" s="169">
        <v>0</v>
      </c>
      <c r="F21" s="169">
        <v>4800</v>
      </c>
      <c r="G21" s="169">
        <v>5000</v>
      </c>
      <c r="H21" s="169">
        <v>5250</v>
      </c>
      <c r="I21" s="169">
        <v>5513</v>
      </c>
      <c r="J21" s="169">
        <v>5788</v>
      </c>
      <c r="K21" s="169">
        <v>6078</v>
      </c>
      <c r="L21" s="169">
        <v>6381</v>
      </c>
    </row>
    <row r="22" spans="2:12" ht="16" customHeight="1">
      <c r="B22" s="132" t="s">
        <v>837</v>
      </c>
      <c r="C22" s="219">
        <f t="shared" si="1"/>
        <v>0</v>
      </c>
      <c r="D22" s="219">
        <f t="shared" si="1"/>
        <v>0</v>
      </c>
      <c r="E22" s="219">
        <f t="shared" si="1"/>
        <v>0</v>
      </c>
      <c r="F22" s="219" t="e">
        <f t="shared" si="1"/>
        <v>#VALUE!</v>
      </c>
      <c r="G22" s="219">
        <f t="shared" si="1"/>
        <v>0</v>
      </c>
      <c r="H22" s="219">
        <f t="shared" si="1"/>
        <v>0</v>
      </c>
      <c r="I22" s="219">
        <f t="shared" si="1"/>
        <v>0</v>
      </c>
      <c r="J22" s="219">
        <f t="shared" si="1"/>
        <v>0</v>
      </c>
      <c r="K22" s="219">
        <f t="shared" si="1"/>
        <v>0</v>
      </c>
      <c r="L22" s="219">
        <f t="shared" si="1"/>
        <v>0</v>
      </c>
    </row>
    <row r="23" spans="2:12" ht="16" customHeight="1">
      <c r="B23" s="132"/>
      <c r="C23" s="126"/>
      <c r="D23" s="126"/>
      <c r="E23" s="126"/>
      <c r="F23" s="126"/>
      <c r="G23" s="126"/>
      <c r="H23" s="126"/>
      <c r="I23" s="126"/>
      <c r="J23" s="126"/>
      <c r="K23" s="126"/>
      <c r="L23" s="126"/>
    </row>
    <row r="24" spans="2:12" ht="16" customHeight="1">
      <c r="B24" s="231" t="s">
        <v>838</v>
      </c>
      <c r="C24" s="199"/>
      <c r="D24" s="199"/>
      <c r="E24" s="199"/>
      <c r="F24" s="199"/>
      <c r="G24" s="199"/>
      <c r="H24" s="199"/>
      <c r="I24" s="199"/>
      <c r="J24" s="199"/>
      <c r="K24" s="199"/>
      <c r="L24" s="199"/>
    </row>
    <row r="25" spans="2:12" ht="16" customHeight="1">
      <c r="B25" s="132" t="s">
        <v>839</v>
      </c>
      <c r="C25" s="126">
        <f t="shared" ref="C25:L25" si="4">C9+C16</f>
        <v>55</v>
      </c>
      <c r="D25" s="126">
        <f t="shared" si="4"/>
        <v>55</v>
      </c>
      <c r="E25" s="126">
        <f t="shared" si="4"/>
        <v>55</v>
      </c>
      <c r="F25" s="126">
        <f t="shared" si="4"/>
        <v>72</v>
      </c>
      <c r="G25" s="126">
        <f t="shared" si="4"/>
        <v>72</v>
      </c>
      <c r="H25" s="126">
        <f t="shared" si="4"/>
        <v>72</v>
      </c>
      <c r="I25" s="126">
        <f t="shared" si="4"/>
        <v>72</v>
      </c>
      <c r="J25" s="126">
        <f t="shared" si="4"/>
        <v>72</v>
      </c>
      <c r="K25" s="126">
        <f t="shared" si="4"/>
        <v>72</v>
      </c>
      <c r="L25" s="126">
        <f t="shared" si="4"/>
        <v>72</v>
      </c>
    </row>
    <row r="26" spans="2:12" ht="16" customHeight="1">
      <c r="B26" s="132" t="s">
        <v>840</v>
      </c>
      <c r="C26" s="219">
        <f t="shared" ref="C26:L26" si="5">C13+C22</f>
        <v>3.0514000000000001</v>
      </c>
      <c r="D26" s="219">
        <f t="shared" si="5"/>
        <v>5.0589000000000004</v>
      </c>
      <c r="E26" s="219">
        <f t="shared" si="5"/>
        <v>6.7753125000000001</v>
      </c>
      <c r="F26" s="219" t="e">
        <f t="shared" si="5"/>
        <v>#VALUE!</v>
      </c>
      <c r="G26" s="219">
        <f t="shared" si="5"/>
        <v>7.82925</v>
      </c>
      <c r="H26" s="219">
        <f t="shared" si="5"/>
        <v>8.2207124999999994</v>
      </c>
      <c r="I26" s="219">
        <f t="shared" si="5"/>
        <v>8.6325310500000008</v>
      </c>
      <c r="J26" s="219">
        <f t="shared" si="5"/>
        <v>9.0631398000000001</v>
      </c>
      <c r="K26" s="219">
        <f t="shared" si="5"/>
        <v>9.5172363000000004</v>
      </c>
      <c r="L26" s="219">
        <f t="shared" si="5"/>
        <v>9.9916888499999992</v>
      </c>
    </row>
    <row r="27" spans="2:12" ht="16" customHeight="1">
      <c r="B27" s="132" t="s">
        <v>841</v>
      </c>
      <c r="C27" s="219">
        <f t="shared" ref="C27:L27" si="6">C26/0.7*0.23</f>
        <v>1.0026028571428574</v>
      </c>
      <c r="D27" s="219">
        <f t="shared" si="6"/>
        <v>1.6622100000000004</v>
      </c>
      <c r="E27" s="219">
        <f t="shared" si="6"/>
        <v>2.2261741071428576</v>
      </c>
      <c r="F27" s="219" t="e">
        <f t="shared" si="6"/>
        <v>#VALUE!</v>
      </c>
      <c r="G27" s="219">
        <f t="shared" si="6"/>
        <v>2.5724678571428576</v>
      </c>
      <c r="H27" s="219">
        <f t="shared" si="6"/>
        <v>2.7010912499999997</v>
      </c>
      <c r="I27" s="219">
        <f t="shared" si="6"/>
        <v>2.8364030592857148</v>
      </c>
      <c r="J27" s="219">
        <f t="shared" si="6"/>
        <v>2.9778887914285717</v>
      </c>
      <c r="K27" s="219">
        <f t="shared" si="6"/>
        <v>3.1270919271428577</v>
      </c>
      <c r="L27" s="219">
        <f t="shared" si="6"/>
        <v>3.2829834792857144</v>
      </c>
    </row>
    <row r="28" spans="2:12" ht="16" customHeight="1">
      <c r="B28" s="132" t="s">
        <v>842</v>
      </c>
      <c r="C28" s="219">
        <f t="shared" ref="C28:L28" si="7">C26/0.7*0.07</f>
        <v>0.30514000000000002</v>
      </c>
      <c r="D28" s="219">
        <f t="shared" si="7"/>
        <v>0.50589000000000017</v>
      </c>
      <c r="E28" s="219">
        <f t="shared" si="7"/>
        <v>0.67753125000000014</v>
      </c>
      <c r="F28" s="219" t="e">
        <f t="shared" si="7"/>
        <v>#VALUE!</v>
      </c>
      <c r="G28" s="219">
        <f t="shared" si="7"/>
        <v>0.7829250000000002</v>
      </c>
      <c r="H28" s="219">
        <f t="shared" si="7"/>
        <v>0.82207125000000003</v>
      </c>
      <c r="I28" s="219">
        <f t="shared" si="7"/>
        <v>0.86325310500000019</v>
      </c>
      <c r="J28" s="219">
        <f t="shared" si="7"/>
        <v>0.90631398000000019</v>
      </c>
      <c r="K28" s="219">
        <f t="shared" si="7"/>
        <v>0.95172363000000026</v>
      </c>
      <c r="L28" s="219">
        <f t="shared" si="7"/>
        <v>0.99916888500000001</v>
      </c>
    </row>
    <row r="29" spans="2:12" ht="17.25" customHeight="1">
      <c r="B29" s="233" t="s">
        <v>843</v>
      </c>
      <c r="C29" s="234">
        <f t="shared" ref="C29:L29" si="8">SUM(C26:C28)</f>
        <v>4.3591428571428574</v>
      </c>
      <c r="D29" s="234">
        <f t="shared" si="8"/>
        <v>7.2270000000000012</v>
      </c>
      <c r="E29" s="234">
        <f t="shared" si="8"/>
        <v>9.679017857142858</v>
      </c>
      <c r="F29" s="234" t="e">
        <f t="shared" si="8"/>
        <v>#VALUE!</v>
      </c>
      <c r="G29" s="234">
        <f t="shared" si="8"/>
        <v>11.184642857142858</v>
      </c>
      <c r="H29" s="234">
        <f t="shared" si="8"/>
        <v>11.743874999999999</v>
      </c>
      <c r="I29" s="234">
        <f t="shared" si="8"/>
        <v>12.332187214285716</v>
      </c>
      <c r="J29" s="234">
        <f t="shared" si="8"/>
        <v>12.947342571428571</v>
      </c>
      <c r="K29" s="234">
        <f t="shared" si="8"/>
        <v>13.596051857142857</v>
      </c>
      <c r="L29" s="234">
        <f t="shared" si="8"/>
        <v>14.273841214285714</v>
      </c>
    </row>
    <row r="30" spans="2:12" ht="17.25" customHeight="1">
      <c r="B30" s="132"/>
      <c r="C30" s="126"/>
      <c r="D30" s="126"/>
      <c r="E30" s="126"/>
      <c r="F30" s="126"/>
      <c r="G30" s="126"/>
      <c r="H30" s="126"/>
      <c r="I30" s="126"/>
      <c r="J30" s="126"/>
      <c r="K30" s="126"/>
      <c r="L30" s="126"/>
    </row>
    <row r="31" spans="2:12" ht="16" customHeight="1">
      <c r="B31" s="132" t="s">
        <v>844</v>
      </c>
      <c r="C31" s="150">
        <f t="shared" ref="C31:L31" si="9">(C11+C20)/(C9*365+C19)</f>
        <v>0.4</v>
      </c>
      <c r="D31" s="150">
        <f t="shared" si="9"/>
        <v>0.6</v>
      </c>
      <c r="E31" s="150">
        <f t="shared" si="9"/>
        <v>0.75</v>
      </c>
      <c r="F31" s="150" t="e">
        <f t="shared" si="9"/>
        <v>#VALUE!</v>
      </c>
      <c r="G31" s="150">
        <f t="shared" si="9"/>
        <v>0.5959104298120762</v>
      </c>
      <c r="H31" s="150">
        <f t="shared" si="9"/>
        <v>0.5959104298120762</v>
      </c>
      <c r="I31" s="150">
        <f t="shared" si="9"/>
        <v>0.5959104298120762</v>
      </c>
      <c r="J31" s="150">
        <f t="shared" si="9"/>
        <v>0.5959104298120762</v>
      </c>
      <c r="K31" s="150">
        <f t="shared" si="9"/>
        <v>0.5959104298120762</v>
      </c>
      <c r="L31" s="150">
        <f t="shared" si="9"/>
        <v>0.5959104298120762</v>
      </c>
    </row>
    <row r="32" spans="2:12" ht="16" customHeight="1">
      <c r="B32" s="132" t="s">
        <v>845</v>
      </c>
      <c r="C32" s="169">
        <f t="shared" ref="C32:L32" si="10">C26*10000000/(C9*365+C19)</f>
        <v>1520</v>
      </c>
      <c r="D32" s="169">
        <f t="shared" si="10"/>
        <v>2520.0000000000005</v>
      </c>
      <c r="E32" s="169">
        <f t="shared" si="10"/>
        <v>3375</v>
      </c>
      <c r="F32" s="169" t="e">
        <f t="shared" si="10"/>
        <v>#VALUE!</v>
      </c>
      <c r="G32" s="169">
        <f t="shared" si="10"/>
        <v>2979.552149060381</v>
      </c>
      <c r="H32" s="169">
        <f t="shared" si="10"/>
        <v>3128.5297565134001</v>
      </c>
      <c r="I32" s="169">
        <f t="shared" si="10"/>
        <v>3285.2541995539764</v>
      </c>
      <c r="J32" s="169">
        <f t="shared" si="10"/>
        <v>3449.1295677522971</v>
      </c>
      <c r="K32" s="169">
        <f t="shared" si="10"/>
        <v>3621.943592397799</v>
      </c>
      <c r="L32" s="169">
        <f t="shared" si="10"/>
        <v>3802.5044526308575</v>
      </c>
    </row>
    <row r="33" spans="2:12" ht="16" customHeight="1">
      <c r="B33" s="132"/>
      <c r="C33" s="126"/>
      <c r="D33" s="126"/>
      <c r="E33" s="126"/>
      <c r="F33" s="126"/>
      <c r="G33" s="126"/>
      <c r="H33" s="126"/>
      <c r="I33" s="126"/>
      <c r="J33" s="126"/>
      <c r="K33" s="126"/>
      <c r="L33" s="126"/>
    </row>
    <row r="34" spans="2:12" ht="16" customHeight="1">
      <c r="B34" s="147" t="s">
        <v>846</v>
      </c>
      <c r="C34" s="235"/>
      <c r="D34" s="235"/>
      <c r="E34" s="235"/>
      <c r="F34" s="235"/>
      <c r="G34" s="235"/>
      <c r="H34" s="235"/>
      <c r="I34" s="235"/>
      <c r="J34" s="235"/>
      <c r="K34" s="235"/>
      <c r="L34" s="235"/>
    </row>
    <row r="35" spans="2:12" ht="16" customHeight="1">
      <c r="B35" s="132" t="s">
        <v>847</v>
      </c>
      <c r="C35" s="219">
        <f t="shared" ref="C35:L35" si="11">C22/0.7</f>
        <v>0</v>
      </c>
      <c r="D35" s="219">
        <f t="shared" si="11"/>
        <v>0</v>
      </c>
      <c r="E35" s="219">
        <f t="shared" si="11"/>
        <v>0</v>
      </c>
      <c r="F35" s="219" t="e">
        <f t="shared" si="11"/>
        <v>#VALUE!</v>
      </c>
      <c r="G35" s="219">
        <f t="shared" si="11"/>
        <v>0</v>
      </c>
      <c r="H35" s="219">
        <f t="shared" si="11"/>
        <v>0</v>
      </c>
      <c r="I35" s="219">
        <f t="shared" si="11"/>
        <v>0</v>
      </c>
      <c r="J35" s="219">
        <f t="shared" si="11"/>
        <v>0</v>
      </c>
      <c r="K35" s="219">
        <f t="shared" si="11"/>
        <v>0</v>
      </c>
      <c r="L35" s="219">
        <f t="shared" si="11"/>
        <v>0</v>
      </c>
    </row>
    <row r="36" spans="2:12" ht="16" customHeight="1">
      <c r="B36" s="132"/>
      <c r="C36" s="126"/>
      <c r="D36" s="126"/>
      <c r="E36" s="126"/>
      <c r="F36" s="126"/>
      <c r="G36" s="126"/>
      <c r="H36" s="126"/>
      <c r="I36" s="126"/>
      <c r="J36" s="126"/>
      <c r="K36" s="126"/>
      <c r="L36" s="126"/>
    </row>
    <row r="37" spans="2:12" ht="80.25" customHeight="1">
      <c r="B37" s="236" t="s">
        <v>493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</row>
    <row r="38" spans="2:12" ht="16" customHeight="1">
      <c r="B38" s="223" t="s">
        <v>494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6"/>
    </row>
  </sheetData>
  <mergeCells count="2">
    <mergeCell ref="B1:M1"/>
    <mergeCell ref="B2:M2"/>
  </mergeCell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7AD9-532F-8C38-DDE8-F80BC84EFBB2}">
  <sheetPr>
    <tabColor rgb="FF3B7A3E"/>
  </sheetPr>
  <dimension ref="B1:L32"/>
  <sheetViews>
    <sheetView showGridLines="0" workbookViewId="0">
      <pane ySplit="4" topLeftCell="A5" activePane="bottomLeft" state="frozen"/>
      <selection pane="bottomLeft" activeCell="C6" sqref="C6"/>
    </sheetView>
  </sheetViews>
  <sheetFormatPr baseColWidth="10" defaultColWidth="9" defaultRowHeight="16" customHeight="1"/>
  <cols>
    <col min="1" max="1" width="2.5" customWidth="1"/>
    <col min="2" max="2" width="127.5" customWidth="1"/>
    <col min="3" max="4" width="5.83203125" customWidth="1"/>
    <col min="5" max="11" width="6" customWidth="1"/>
    <col min="12" max="12" width="6.83203125" customWidth="1"/>
  </cols>
  <sheetData>
    <row r="1" spans="2:12" ht="19.5" customHeight="1">
      <c r="B1" s="599" t="s">
        <v>848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</row>
    <row r="2" spans="2:12" ht="15" customHeight="1">
      <c r="B2" s="600" t="s">
        <v>791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4" spans="2:12" ht="18" customHeight="1">
      <c r="B4" s="125" t="s">
        <v>849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2:12" ht="16" customHeight="1">
      <c r="B5" s="127" t="s">
        <v>850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2:12" ht="16" customHeight="1"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</row>
    <row r="7" spans="2:12" ht="16" customHeight="1">
      <c r="B7" s="237"/>
      <c r="C7" s="238" t="s">
        <v>331</v>
      </c>
      <c r="D7" s="238" t="s">
        <v>332</v>
      </c>
      <c r="E7" s="238" t="s">
        <v>333</v>
      </c>
      <c r="F7" s="238" t="s">
        <v>794</v>
      </c>
      <c r="G7" s="238" t="s">
        <v>334</v>
      </c>
      <c r="H7" s="238" t="s">
        <v>795</v>
      </c>
      <c r="I7" s="238" t="s">
        <v>335</v>
      </c>
      <c r="J7" s="238" t="s">
        <v>796</v>
      </c>
      <c r="K7" s="238" t="s">
        <v>552</v>
      </c>
      <c r="L7" s="238" t="s">
        <v>336</v>
      </c>
    </row>
    <row r="8" spans="2:12" ht="16" customHeight="1">
      <c r="B8" s="239" t="s">
        <v>851</v>
      </c>
      <c r="C8" s="240">
        <v>7.33</v>
      </c>
      <c r="D8" s="240">
        <v>8.73</v>
      </c>
      <c r="E8" s="240">
        <v>10.02</v>
      </c>
      <c r="F8" s="240">
        <v>10.97</v>
      </c>
      <c r="G8" s="240">
        <v>11.59</v>
      </c>
      <c r="H8" s="240">
        <v>12.17</v>
      </c>
      <c r="I8" s="240">
        <v>12.77</v>
      </c>
      <c r="J8" s="240">
        <v>13.41</v>
      </c>
      <c r="K8" s="240">
        <v>14.08</v>
      </c>
      <c r="L8" s="240">
        <v>14.79</v>
      </c>
    </row>
    <row r="9" spans="2:12" ht="16" customHeight="1">
      <c r="B9" s="132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2:12" ht="16" customHeight="1">
      <c r="B10" s="141" t="s">
        <v>852</v>
      </c>
      <c r="C10" s="225"/>
      <c r="D10" s="225"/>
      <c r="E10" s="225"/>
      <c r="F10" s="225"/>
      <c r="G10" s="225"/>
      <c r="H10" s="225"/>
      <c r="I10" s="225"/>
      <c r="J10" s="225"/>
      <c r="K10" s="225"/>
      <c r="L10" s="225"/>
    </row>
    <row r="11" spans="2:12" ht="16" customHeight="1">
      <c r="B11" s="132" t="s">
        <v>853</v>
      </c>
      <c r="C11" s="219">
        <f t="shared" ref="C11:L11" si="0">C8*0.7*0.18</f>
        <v>0.92357999999999985</v>
      </c>
      <c r="D11" s="219">
        <f t="shared" si="0"/>
        <v>1.09998</v>
      </c>
      <c r="E11" s="219">
        <f t="shared" si="0"/>
        <v>1.2625199999999999</v>
      </c>
      <c r="F11" s="219">
        <f t="shared" si="0"/>
        <v>1.38222</v>
      </c>
      <c r="G11" s="219">
        <f t="shared" si="0"/>
        <v>1.46034</v>
      </c>
      <c r="H11" s="219">
        <f t="shared" si="0"/>
        <v>1.53342</v>
      </c>
      <c r="I11" s="219">
        <f t="shared" si="0"/>
        <v>1.6090199999999997</v>
      </c>
      <c r="J11" s="219">
        <f t="shared" si="0"/>
        <v>1.6896599999999997</v>
      </c>
      <c r="K11" s="219">
        <f t="shared" si="0"/>
        <v>1.7740799999999999</v>
      </c>
      <c r="L11" s="219">
        <f t="shared" si="0"/>
        <v>1.8635399999999995</v>
      </c>
    </row>
    <row r="12" spans="2:12" ht="16" customHeight="1">
      <c r="B12" s="132" t="s">
        <v>854</v>
      </c>
      <c r="C12" s="219">
        <f t="shared" ref="C12:L12" si="1">C8*0.11</f>
        <v>0.80630000000000002</v>
      </c>
      <c r="D12" s="219">
        <f t="shared" si="1"/>
        <v>0.96030000000000004</v>
      </c>
      <c r="E12" s="219">
        <f t="shared" si="1"/>
        <v>1.1022000000000001</v>
      </c>
      <c r="F12" s="219">
        <f t="shared" si="1"/>
        <v>1.2067000000000001</v>
      </c>
      <c r="G12" s="219">
        <f t="shared" si="1"/>
        <v>1.2748999999999999</v>
      </c>
      <c r="H12" s="219">
        <f t="shared" si="1"/>
        <v>1.3387</v>
      </c>
      <c r="I12" s="219">
        <f t="shared" si="1"/>
        <v>1.4047000000000001</v>
      </c>
      <c r="J12" s="219">
        <f t="shared" si="1"/>
        <v>1.4751000000000001</v>
      </c>
      <c r="K12" s="219">
        <f t="shared" si="1"/>
        <v>1.5488</v>
      </c>
      <c r="L12" s="219">
        <f t="shared" si="1"/>
        <v>1.6269</v>
      </c>
    </row>
    <row r="13" spans="2:12" ht="16" customHeight="1">
      <c r="B13" s="132" t="s">
        <v>855</v>
      </c>
      <c r="C13" s="219">
        <f t="shared" ref="C13:L13" si="2">C8*0.05</f>
        <v>0.36650000000000005</v>
      </c>
      <c r="D13" s="219">
        <f t="shared" si="2"/>
        <v>0.43650000000000005</v>
      </c>
      <c r="E13" s="219">
        <f t="shared" si="2"/>
        <v>0.501</v>
      </c>
      <c r="F13" s="219">
        <f t="shared" si="2"/>
        <v>0.5485000000000001</v>
      </c>
      <c r="G13" s="219">
        <f t="shared" si="2"/>
        <v>0.57950000000000002</v>
      </c>
      <c r="H13" s="219">
        <f t="shared" si="2"/>
        <v>0.60850000000000004</v>
      </c>
      <c r="I13" s="219">
        <f t="shared" si="2"/>
        <v>0.63850000000000007</v>
      </c>
      <c r="J13" s="219">
        <f t="shared" si="2"/>
        <v>0.6705000000000001</v>
      </c>
      <c r="K13" s="219">
        <f t="shared" si="2"/>
        <v>0.70400000000000007</v>
      </c>
      <c r="L13" s="219">
        <f t="shared" si="2"/>
        <v>0.73950000000000005</v>
      </c>
    </row>
    <row r="14" spans="2:12" ht="16" customHeight="1">
      <c r="B14" s="132" t="s">
        <v>856</v>
      </c>
      <c r="C14" s="219">
        <f t="shared" ref="C14:L14" si="3">C8*0.05</f>
        <v>0.36650000000000005</v>
      </c>
      <c r="D14" s="219">
        <f t="shared" si="3"/>
        <v>0.43650000000000005</v>
      </c>
      <c r="E14" s="219">
        <f t="shared" si="3"/>
        <v>0.501</v>
      </c>
      <c r="F14" s="219">
        <f t="shared" si="3"/>
        <v>0.5485000000000001</v>
      </c>
      <c r="G14" s="219">
        <f t="shared" si="3"/>
        <v>0.57950000000000002</v>
      </c>
      <c r="H14" s="219">
        <f t="shared" si="3"/>
        <v>0.60850000000000004</v>
      </c>
      <c r="I14" s="219">
        <f t="shared" si="3"/>
        <v>0.63850000000000007</v>
      </c>
      <c r="J14" s="219">
        <f t="shared" si="3"/>
        <v>0.6705000000000001</v>
      </c>
      <c r="K14" s="219">
        <f t="shared" si="3"/>
        <v>0.70400000000000007</v>
      </c>
      <c r="L14" s="219">
        <f t="shared" si="3"/>
        <v>0.73950000000000005</v>
      </c>
    </row>
    <row r="15" spans="2:12" ht="16" customHeight="1">
      <c r="B15" s="132" t="s">
        <v>857</v>
      </c>
      <c r="C15" s="219">
        <f t="shared" ref="C15:L15" si="4">C8*0.03</f>
        <v>0.21989999999999998</v>
      </c>
      <c r="D15" s="219">
        <f t="shared" si="4"/>
        <v>0.26190000000000002</v>
      </c>
      <c r="E15" s="219">
        <f t="shared" si="4"/>
        <v>0.30059999999999998</v>
      </c>
      <c r="F15" s="219">
        <f t="shared" si="4"/>
        <v>0.3291</v>
      </c>
      <c r="G15" s="219">
        <f t="shared" si="4"/>
        <v>0.34770000000000001</v>
      </c>
      <c r="H15" s="219">
        <f t="shared" si="4"/>
        <v>0.36509999999999998</v>
      </c>
      <c r="I15" s="219">
        <f t="shared" si="4"/>
        <v>0.3831</v>
      </c>
      <c r="J15" s="219">
        <f t="shared" si="4"/>
        <v>0.40229999999999999</v>
      </c>
      <c r="K15" s="219">
        <f t="shared" si="4"/>
        <v>0.4224</v>
      </c>
      <c r="L15" s="219">
        <f t="shared" si="4"/>
        <v>0.44369999999999998</v>
      </c>
    </row>
    <row r="16" spans="2:12" ht="16" customHeight="1">
      <c r="B16" s="132" t="s">
        <v>858</v>
      </c>
      <c r="C16" s="219">
        <f t="shared" ref="C16:L16" si="5">C8*0.08</f>
        <v>0.58640000000000003</v>
      </c>
      <c r="D16" s="219">
        <f t="shared" si="5"/>
        <v>0.69840000000000002</v>
      </c>
      <c r="E16" s="219">
        <f t="shared" si="5"/>
        <v>0.80159999999999998</v>
      </c>
      <c r="F16" s="219">
        <f t="shared" si="5"/>
        <v>0.87760000000000005</v>
      </c>
      <c r="G16" s="219">
        <f t="shared" si="5"/>
        <v>0.92720000000000002</v>
      </c>
      <c r="H16" s="219">
        <f t="shared" si="5"/>
        <v>0.97360000000000002</v>
      </c>
      <c r="I16" s="219">
        <f t="shared" si="5"/>
        <v>1.0216000000000001</v>
      </c>
      <c r="J16" s="219">
        <f t="shared" si="5"/>
        <v>1.0728</v>
      </c>
      <c r="K16" s="219">
        <f t="shared" si="5"/>
        <v>1.1264000000000001</v>
      </c>
      <c r="L16" s="219">
        <f t="shared" si="5"/>
        <v>1.1832</v>
      </c>
    </row>
    <row r="17" spans="2:12" ht="16" customHeight="1">
      <c r="B17" s="132" t="s">
        <v>859</v>
      </c>
      <c r="C17" s="219">
        <f t="shared" ref="C17:L17" si="6">C8*0.015</f>
        <v>0.10994999999999999</v>
      </c>
      <c r="D17" s="219">
        <f t="shared" si="6"/>
        <v>0.13095000000000001</v>
      </c>
      <c r="E17" s="219">
        <f t="shared" si="6"/>
        <v>0.15029999999999999</v>
      </c>
      <c r="F17" s="219">
        <f t="shared" si="6"/>
        <v>0.16455</v>
      </c>
      <c r="G17" s="219">
        <f t="shared" si="6"/>
        <v>0.17385</v>
      </c>
      <c r="H17" s="219">
        <f t="shared" si="6"/>
        <v>0.18254999999999999</v>
      </c>
      <c r="I17" s="219">
        <f t="shared" si="6"/>
        <v>0.19155</v>
      </c>
      <c r="J17" s="219">
        <f t="shared" si="6"/>
        <v>0.20115</v>
      </c>
      <c r="K17" s="219">
        <f t="shared" si="6"/>
        <v>0.2112</v>
      </c>
      <c r="L17" s="219">
        <f t="shared" si="6"/>
        <v>0.22184999999999999</v>
      </c>
    </row>
    <row r="18" spans="2:12" ht="16" customHeight="1">
      <c r="B18" s="132"/>
      <c r="C18" s="126"/>
      <c r="D18" s="126"/>
      <c r="E18" s="126"/>
      <c r="F18" s="126"/>
      <c r="G18" s="126"/>
      <c r="H18" s="126"/>
      <c r="I18" s="126"/>
      <c r="J18" s="126"/>
      <c r="K18" s="126"/>
      <c r="L18" s="126"/>
    </row>
    <row r="19" spans="2:12" ht="16" customHeight="1">
      <c r="B19" s="136" t="s">
        <v>860</v>
      </c>
      <c r="C19" s="220">
        <f t="shared" ref="C19:L19" si="7">SUM(C11:C17)</f>
        <v>3.3791300000000004</v>
      </c>
      <c r="D19" s="220">
        <f t="shared" si="7"/>
        <v>4.0245300000000004</v>
      </c>
      <c r="E19" s="220">
        <f t="shared" si="7"/>
        <v>4.6192199999999994</v>
      </c>
      <c r="F19" s="220">
        <f t="shared" si="7"/>
        <v>5.0571700000000011</v>
      </c>
      <c r="G19" s="220">
        <f t="shared" si="7"/>
        <v>5.3429899999999995</v>
      </c>
      <c r="H19" s="220">
        <f t="shared" si="7"/>
        <v>5.6103700000000005</v>
      </c>
      <c r="I19" s="220">
        <f t="shared" si="7"/>
        <v>5.8869700000000007</v>
      </c>
      <c r="J19" s="220">
        <f t="shared" si="7"/>
        <v>6.1820100000000009</v>
      </c>
      <c r="K19" s="220">
        <f t="shared" si="7"/>
        <v>6.4908799999999989</v>
      </c>
      <c r="L19" s="220">
        <f t="shared" si="7"/>
        <v>6.8181899999999986</v>
      </c>
    </row>
    <row r="20" spans="2:12" ht="16" customHeight="1">
      <c r="B20" s="132" t="s">
        <v>861</v>
      </c>
      <c r="C20" s="150">
        <f t="shared" ref="C20:L20" si="8">C19/C8</f>
        <v>0.46100000000000008</v>
      </c>
      <c r="D20" s="150">
        <f t="shared" si="8"/>
        <v>0.46100000000000002</v>
      </c>
      <c r="E20" s="150">
        <f t="shared" si="8"/>
        <v>0.46099999999999997</v>
      </c>
      <c r="F20" s="150">
        <f t="shared" si="8"/>
        <v>0.46100000000000008</v>
      </c>
      <c r="G20" s="150">
        <f t="shared" si="8"/>
        <v>0.46099999999999997</v>
      </c>
      <c r="H20" s="150">
        <f t="shared" si="8"/>
        <v>0.46100000000000002</v>
      </c>
      <c r="I20" s="150">
        <f t="shared" si="8"/>
        <v>0.46100000000000008</v>
      </c>
      <c r="J20" s="150">
        <f t="shared" si="8"/>
        <v>0.46100000000000008</v>
      </c>
      <c r="K20" s="150">
        <f t="shared" si="8"/>
        <v>0.46099999999999991</v>
      </c>
      <c r="L20" s="150">
        <f t="shared" si="8"/>
        <v>0.46099999999999991</v>
      </c>
    </row>
    <row r="21" spans="2:12" ht="16" customHeight="1">
      <c r="B21" s="132"/>
      <c r="C21" s="126"/>
      <c r="D21" s="126"/>
      <c r="E21" s="126"/>
      <c r="F21" s="126"/>
      <c r="G21" s="126"/>
      <c r="H21" s="126"/>
      <c r="I21" s="126"/>
      <c r="J21" s="126"/>
      <c r="K21" s="126"/>
      <c r="L21" s="126"/>
    </row>
    <row r="22" spans="2:12" ht="17.25" customHeight="1">
      <c r="B22" s="241" t="s">
        <v>862</v>
      </c>
      <c r="C22" s="242">
        <f t="shared" ref="C22:L22" si="9">C8-C19</f>
        <v>3.9508699999999997</v>
      </c>
      <c r="D22" s="242">
        <f t="shared" si="9"/>
        <v>4.70547</v>
      </c>
      <c r="E22" s="242">
        <f t="shared" si="9"/>
        <v>5.4007800000000001</v>
      </c>
      <c r="F22" s="242">
        <f t="shared" si="9"/>
        <v>5.9128299999999996</v>
      </c>
      <c r="G22" s="242">
        <f t="shared" si="9"/>
        <v>6.2470100000000004</v>
      </c>
      <c r="H22" s="242">
        <f t="shared" si="9"/>
        <v>6.5596299999999994</v>
      </c>
      <c r="I22" s="242">
        <f t="shared" si="9"/>
        <v>6.8830299999999989</v>
      </c>
      <c r="J22" s="242">
        <f t="shared" si="9"/>
        <v>7.2279899999999992</v>
      </c>
      <c r="K22" s="242">
        <f t="shared" si="9"/>
        <v>7.5891200000000012</v>
      </c>
      <c r="L22" s="242">
        <f t="shared" si="9"/>
        <v>7.9718100000000005</v>
      </c>
    </row>
    <row r="23" spans="2:12" ht="17.25" customHeight="1">
      <c r="B23" s="149" t="s">
        <v>863</v>
      </c>
      <c r="C23" s="150">
        <f t="shared" ref="C23:L23" si="10">C22/C8</f>
        <v>0.53899999999999992</v>
      </c>
      <c r="D23" s="150">
        <f t="shared" si="10"/>
        <v>0.53899999999999992</v>
      </c>
      <c r="E23" s="150">
        <f t="shared" si="10"/>
        <v>0.53900000000000003</v>
      </c>
      <c r="F23" s="150">
        <f t="shared" si="10"/>
        <v>0.53899999999999992</v>
      </c>
      <c r="G23" s="150">
        <f t="shared" si="10"/>
        <v>0.53900000000000003</v>
      </c>
      <c r="H23" s="150">
        <f t="shared" si="10"/>
        <v>0.53899999999999992</v>
      </c>
      <c r="I23" s="150">
        <f t="shared" si="10"/>
        <v>0.53899999999999992</v>
      </c>
      <c r="J23" s="150">
        <f t="shared" si="10"/>
        <v>0.53899999999999992</v>
      </c>
      <c r="K23" s="150">
        <f t="shared" si="10"/>
        <v>0.53900000000000003</v>
      </c>
      <c r="L23" s="150">
        <f t="shared" si="10"/>
        <v>0.53900000000000003</v>
      </c>
    </row>
    <row r="24" spans="2:12" ht="16" customHeight="1">
      <c r="B24" s="132"/>
      <c r="C24" s="126"/>
      <c r="D24" s="126"/>
      <c r="E24" s="126"/>
      <c r="F24" s="126"/>
      <c r="G24" s="126"/>
      <c r="H24" s="126"/>
      <c r="I24" s="126"/>
      <c r="J24" s="126"/>
      <c r="K24" s="126"/>
      <c r="L24" s="126"/>
    </row>
    <row r="25" spans="2:12" ht="16" customHeight="1">
      <c r="B25" s="141" t="s">
        <v>864</v>
      </c>
      <c r="C25" s="225"/>
      <c r="D25" s="225"/>
      <c r="E25" s="225"/>
      <c r="F25" s="225"/>
      <c r="G25" s="225"/>
      <c r="H25" s="225"/>
      <c r="I25" s="225"/>
      <c r="J25" s="225"/>
      <c r="K25" s="225"/>
      <c r="L25" s="225"/>
    </row>
    <row r="26" spans="2:12" ht="16" customHeight="1">
      <c r="B26" s="132" t="s">
        <v>865</v>
      </c>
      <c r="C26" s="219">
        <v>2.6</v>
      </c>
      <c r="D26" s="219">
        <v>2.73</v>
      </c>
      <c r="E26" s="219">
        <v>2.87</v>
      </c>
      <c r="F26" s="219">
        <v>3.01</v>
      </c>
      <c r="G26" s="219">
        <v>3.16</v>
      </c>
      <c r="H26" s="219">
        <v>3.32</v>
      </c>
      <c r="I26" s="219">
        <v>3.48</v>
      </c>
      <c r="J26" s="219">
        <v>3.66</v>
      </c>
      <c r="K26" s="219">
        <v>3.84</v>
      </c>
      <c r="L26" s="219">
        <v>4.03</v>
      </c>
    </row>
    <row r="27" spans="2:12" ht="16" customHeight="1">
      <c r="B27" s="132" t="s">
        <v>866</v>
      </c>
      <c r="C27" s="219">
        <f t="shared" ref="C27:L27" si="11">C19-C26</f>
        <v>0.77913000000000032</v>
      </c>
      <c r="D27" s="219">
        <f t="shared" si="11"/>
        <v>1.2945300000000004</v>
      </c>
      <c r="E27" s="219">
        <f t="shared" si="11"/>
        <v>1.7492199999999993</v>
      </c>
      <c r="F27" s="219">
        <f t="shared" si="11"/>
        <v>2.0471700000000013</v>
      </c>
      <c r="G27" s="219">
        <f t="shared" si="11"/>
        <v>2.1829899999999993</v>
      </c>
      <c r="H27" s="219">
        <f t="shared" si="11"/>
        <v>2.2903700000000007</v>
      </c>
      <c r="I27" s="219">
        <f t="shared" si="11"/>
        <v>2.4069700000000007</v>
      </c>
      <c r="J27" s="219">
        <f t="shared" si="11"/>
        <v>2.5220100000000008</v>
      </c>
      <c r="K27" s="219">
        <f t="shared" si="11"/>
        <v>2.650879999999999</v>
      </c>
      <c r="L27" s="219">
        <f t="shared" si="11"/>
        <v>2.7881899999999984</v>
      </c>
    </row>
    <row r="28" spans="2:12" ht="16" customHeight="1">
      <c r="B28" s="132" t="s">
        <v>867</v>
      </c>
      <c r="C28" s="243">
        <v>0.3</v>
      </c>
      <c r="D28" s="243">
        <v>0.3</v>
      </c>
      <c r="E28" s="243">
        <v>0.3</v>
      </c>
      <c r="F28" s="243">
        <v>0.3</v>
      </c>
      <c r="G28" s="243">
        <v>0.3</v>
      </c>
      <c r="H28" s="243">
        <v>0.3</v>
      </c>
      <c r="I28" s="243">
        <v>0.3</v>
      </c>
      <c r="J28" s="243">
        <v>0.3</v>
      </c>
      <c r="K28" s="243">
        <v>0.3</v>
      </c>
      <c r="L28" s="243">
        <v>0.3</v>
      </c>
    </row>
    <row r="29" spans="2:12" ht="16" customHeight="1">
      <c r="B29" s="132"/>
      <c r="C29" s="126"/>
      <c r="D29" s="126"/>
      <c r="E29" s="126"/>
      <c r="F29" s="126"/>
      <c r="G29" s="126"/>
      <c r="H29" s="126"/>
      <c r="I29" s="126"/>
      <c r="J29" s="126"/>
      <c r="K29" s="126"/>
      <c r="L29" s="126"/>
    </row>
    <row r="30" spans="2:12" ht="63.75" customHeight="1">
      <c r="B30" s="236" t="s">
        <v>493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</row>
    <row r="31" spans="2:12" ht="80.25" customHeight="1">
      <c r="B31" s="244" t="s">
        <v>494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</row>
    <row r="32" spans="2:12" ht="16" customHeight="1">
      <c r="B32" s="245"/>
    </row>
  </sheetData>
  <mergeCells count="2">
    <mergeCell ref="B1:L1"/>
    <mergeCell ref="B2:L2"/>
  </mergeCells>
  <conditionalFormatting sqref="C23:L23">
    <cfRule type="cellIs" dxfId="20" priority="1" operator="greaterThan">
      <formula>0.38</formula>
    </cfRule>
    <cfRule type="cellIs" dxfId="19" priority="2" operator="lessThanOrEqual">
      <formula>0.38</formula>
    </cfRule>
  </conditionalFormatting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144A-35F5-AF68-47B5-6E1A37FE8458}">
  <sheetPr>
    <tabColor rgb="FF3B7A3E"/>
  </sheetPr>
  <dimension ref="B1:L32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baseColWidth="10" defaultColWidth="9" defaultRowHeight="16" customHeight="1"/>
  <cols>
    <col min="1" max="1" width="2.5" customWidth="1"/>
    <col min="2" max="2" width="127.5" customWidth="1"/>
    <col min="3" max="12" width="6.83203125" customWidth="1"/>
  </cols>
  <sheetData>
    <row r="1" spans="2:12" ht="19.5" customHeight="1">
      <c r="B1" s="599" t="s">
        <v>868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</row>
    <row r="2" spans="2:12" ht="15" customHeight="1">
      <c r="B2" s="600" t="s">
        <v>791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4" spans="2:12" ht="18" customHeight="1">
      <c r="B4" s="125" t="s">
        <v>869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2:12" ht="16" customHeight="1">
      <c r="B5" s="246" t="s">
        <v>870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2:12" ht="16" customHeight="1">
      <c r="B6" s="247" t="s">
        <v>871</v>
      </c>
      <c r="C6" s="224" t="s">
        <v>331</v>
      </c>
      <c r="D6" s="224" t="s">
        <v>332</v>
      </c>
      <c r="E6" s="224" t="s">
        <v>333</v>
      </c>
      <c r="F6" s="224" t="s">
        <v>794</v>
      </c>
      <c r="G6" s="224" t="s">
        <v>334</v>
      </c>
      <c r="H6" s="224" t="s">
        <v>795</v>
      </c>
      <c r="I6" s="224" t="s">
        <v>335</v>
      </c>
      <c r="J6" s="224" t="s">
        <v>796</v>
      </c>
      <c r="K6" s="224" t="s">
        <v>552</v>
      </c>
      <c r="L6" s="224" t="s">
        <v>336</v>
      </c>
    </row>
    <row r="7" spans="2:12" ht="16" customHeight="1">
      <c r="B7" s="149" t="s">
        <v>872</v>
      </c>
      <c r="C7" s="219">
        <v>7.33</v>
      </c>
      <c r="D7" s="219">
        <v>8.73</v>
      </c>
      <c r="E7" s="219">
        <v>10.02</v>
      </c>
      <c r="F7" s="219">
        <v>10.97</v>
      </c>
      <c r="G7" s="219">
        <v>11.59</v>
      </c>
      <c r="H7" s="219">
        <v>12.17</v>
      </c>
      <c r="I7" s="219">
        <v>12.77</v>
      </c>
      <c r="J7" s="219">
        <v>13.41</v>
      </c>
      <c r="K7" s="219">
        <v>14.08</v>
      </c>
      <c r="L7" s="219">
        <v>14.79</v>
      </c>
    </row>
    <row r="8" spans="2:12" ht="16" customHeight="1">
      <c r="B8" s="132" t="s">
        <v>873</v>
      </c>
      <c r="C8" s="248">
        <f t="shared" ref="C8:L8" si="0">C7*0.596</f>
        <v>4.3686799999999995</v>
      </c>
      <c r="D8" s="248">
        <f t="shared" si="0"/>
        <v>5.2030799999999999</v>
      </c>
      <c r="E8" s="248">
        <f t="shared" si="0"/>
        <v>5.9719199999999999</v>
      </c>
      <c r="F8" s="248">
        <f t="shared" si="0"/>
        <v>6.5381200000000002</v>
      </c>
      <c r="G8" s="248">
        <f t="shared" si="0"/>
        <v>6.9076399999999998</v>
      </c>
      <c r="H8" s="248">
        <f t="shared" si="0"/>
        <v>7.2533199999999995</v>
      </c>
      <c r="I8" s="248">
        <f t="shared" si="0"/>
        <v>7.6109199999999992</v>
      </c>
      <c r="J8" s="248">
        <f t="shared" si="0"/>
        <v>7.9923599999999997</v>
      </c>
      <c r="K8" s="248">
        <f t="shared" si="0"/>
        <v>8.3916799999999991</v>
      </c>
      <c r="L8" s="248">
        <f t="shared" si="0"/>
        <v>8.8148399999999985</v>
      </c>
    </row>
    <row r="9" spans="2:12" ht="16" customHeight="1">
      <c r="B9" s="132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2:12" ht="16" customHeight="1">
      <c r="B10" s="136" t="s">
        <v>347</v>
      </c>
      <c r="C10" s="220">
        <f t="shared" ref="C10:L10" si="1">C7-C8</f>
        <v>2.9613200000000006</v>
      </c>
      <c r="D10" s="220">
        <f t="shared" si="1"/>
        <v>3.5269200000000005</v>
      </c>
      <c r="E10" s="220">
        <f t="shared" si="1"/>
        <v>4.0480799999999997</v>
      </c>
      <c r="F10" s="220">
        <f t="shared" si="1"/>
        <v>4.4318800000000005</v>
      </c>
      <c r="G10" s="220">
        <f t="shared" si="1"/>
        <v>4.6823600000000001</v>
      </c>
      <c r="H10" s="220">
        <f t="shared" si="1"/>
        <v>4.9166800000000004</v>
      </c>
      <c r="I10" s="220">
        <f t="shared" si="1"/>
        <v>5.1590800000000003</v>
      </c>
      <c r="J10" s="220">
        <f t="shared" si="1"/>
        <v>5.4176400000000005</v>
      </c>
      <c r="K10" s="220">
        <f t="shared" si="1"/>
        <v>5.6883200000000009</v>
      </c>
      <c r="L10" s="220">
        <f t="shared" si="1"/>
        <v>5.9751600000000007</v>
      </c>
    </row>
    <row r="11" spans="2:12" ht="16" customHeight="1">
      <c r="B11" s="132" t="s">
        <v>863</v>
      </c>
      <c r="C11" s="150">
        <f t="shared" ref="C11:L11" si="2">C10/C7</f>
        <v>0.40400000000000008</v>
      </c>
      <c r="D11" s="150">
        <f t="shared" si="2"/>
        <v>0.40400000000000003</v>
      </c>
      <c r="E11" s="150">
        <f t="shared" si="2"/>
        <v>0.40399999999999997</v>
      </c>
      <c r="F11" s="150">
        <f t="shared" si="2"/>
        <v>0.40400000000000003</v>
      </c>
      <c r="G11" s="150">
        <f t="shared" si="2"/>
        <v>0.40400000000000003</v>
      </c>
      <c r="H11" s="150">
        <f t="shared" si="2"/>
        <v>0.40400000000000003</v>
      </c>
      <c r="I11" s="150">
        <f t="shared" si="2"/>
        <v>0.40400000000000003</v>
      </c>
      <c r="J11" s="150">
        <f t="shared" si="2"/>
        <v>0.40400000000000003</v>
      </c>
      <c r="K11" s="150">
        <f t="shared" si="2"/>
        <v>0.40400000000000008</v>
      </c>
      <c r="L11" s="150">
        <f t="shared" si="2"/>
        <v>0.40400000000000008</v>
      </c>
    </row>
    <row r="12" spans="2:12" ht="16" customHeight="1">
      <c r="B12" s="132"/>
      <c r="C12" s="126"/>
      <c r="D12" s="126"/>
      <c r="E12" s="126"/>
      <c r="F12" s="126"/>
      <c r="G12" s="126"/>
      <c r="H12" s="126"/>
      <c r="I12" s="126"/>
      <c r="J12" s="126"/>
      <c r="K12" s="126"/>
      <c r="L12" s="126"/>
    </row>
    <row r="13" spans="2:12" ht="16" customHeight="1">
      <c r="B13" s="249" t="s">
        <v>874</v>
      </c>
      <c r="C13" s="250">
        <v>1.04</v>
      </c>
      <c r="D13" s="250">
        <v>1.04</v>
      </c>
      <c r="E13" s="250">
        <v>1.04</v>
      </c>
      <c r="F13" s="250">
        <v>1.04</v>
      </c>
      <c r="G13" s="250">
        <v>1.04</v>
      </c>
      <c r="H13" s="250">
        <v>1.04</v>
      </c>
      <c r="I13" s="250">
        <v>1.04</v>
      </c>
      <c r="J13" s="250">
        <v>1.04</v>
      </c>
      <c r="K13" s="250">
        <v>1.04</v>
      </c>
      <c r="L13" s="250">
        <v>1.04</v>
      </c>
    </row>
    <row r="14" spans="2:12" ht="16" customHeight="1">
      <c r="B14" s="149" t="s">
        <v>875</v>
      </c>
      <c r="C14" s="219">
        <f t="shared" ref="C14:L14" si="3">C10-C13</f>
        <v>1.9213200000000006</v>
      </c>
      <c r="D14" s="219">
        <f t="shared" si="3"/>
        <v>2.4869200000000005</v>
      </c>
      <c r="E14" s="219">
        <f t="shared" si="3"/>
        <v>3.0080799999999996</v>
      </c>
      <c r="F14" s="219">
        <f t="shared" si="3"/>
        <v>3.3918800000000005</v>
      </c>
      <c r="G14" s="219">
        <f t="shared" si="3"/>
        <v>3.64236</v>
      </c>
      <c r="H14" s="219">
        <f t="shared" si="3"/>
        <v>3.8766800000000003</v>
      </c>
      <c r="I14" s="219">
        <f t="shared" si="3"/>
        <v>4.1190800000000003</v>
      </c>
      <c r="J14" s="219">
        <f t="shared" si="3"/>
        <v>4.3776400000000004</v>
      </c>
      <c r="K14" s="219">
        <f t="shared" si="3"/>
        <v>4.6483200000000009</v>
      </c>
      <c r="L14" s="219">
        <f t="shared" si="3"/>
        <v>4.9351600000000007</v>
      </c>
    </row>
    <row r="15" spans="2:12" ht="16" customHeight="1">
      <c r="B15" s="132" t="s">
        <v>876</v>
      </c>
      <c r="C15" s="248">
        <v>1.43</v>
      </c>
      <c r="D15" s="248">
        <v>1.43</v>
      </c>
      <c r="E15" s="248">
        <v>1.43</v>
      </c>
      <c r="F15" s="248">
        <v>1.39</v>
      </c>
      <c r="G15" s="248">
        <v>1.34</v>
      </c>
      <c r="H15" s="248">
        <v>1.29</v>
      </c>
      <c r="I15" s="248">
        <v>1.24</v>
      </c>
      <c r="J15" s="248">
        <v>1.18</v>
      </c>
      <c r="K15" s="248">
        <v>1.1100000000000001</v>
      </c>
      <c r="L15" s="248">
        <v>1.04</v>
      </c>
    </row>
    <row r="16" spans="2:12" ht="16" customHeight="1">
      <c r="B16" s="136" t="s">
        <v>877</v>
      </c>
      <c r="C16" s="251">
        <f t="shared" ref="C16:L18" si="4">C14-C15</f>
        <v>0.49132000000000065</v>
      </c>
      <c r="D16" s="251">
        <f t="shared" si="4"/>
        <v>1.0569200000000005</v>
      </c>
      <c r="E16" s="251">
        <f t="shared" si="4"/>
        <v>1.5780799999999997</v>
      </c>
      <c r="F16" s="251">
        <f t="shared" si="4"/>
        <v>2.0018800000000008</v>
      </c>
      <c r="G16" s="251">
        <f t="shared" si="4"/>
        <v>2.3023600000000002</v>
      </c>
      <c r="H16" s="251">
        <f t="shared" si="4"/>
        <v>2.5866800000000003</v>
      </c>
      <c r="I16" s="251">
        <f t="shared" si="4"/>
        <v>2.8790800000000001</v>
      </c>
      <c r="J16" s="251">
        <f t="shared" si="4"/>
        <v>3.1976400000000007</v>
      </c>
      <c r="K16" s="251">
        <f t="shared" si="4"/>
        <v>3.5383200000000006</v>
      </c>
      <c r="L16" s="251">
        <f t="shared" si="4"/>
        <v>3.8951600000000006</v>
      </c>
    </row>
    <row r="17" spans="2:12" ht="16" customHeight="1">
      <c r="B17" s="132" t="s">
        <v>878</v>
      </c>
      <c r="C17" s="248">
        <f t="shared" ref="C17:L17" si="5">MAX(C16*0.2517,0)</f>
        <v>0.12366524400000015</v>
      </c>
      <c r="D17" s="248">
        <f t="shared" si="5"/>
        <v>0.26602676400000014</v>
      </c>
      <c r="E17" s="248">
        <f t="shared" si="5"/>
        <v>0.39720273599999989</v>
      </c>
      <c r="F17" s="248">
        <f t="shared" si="5"/>
        <v>0.50387319600000013</v>
      </c>
      <c r="G17" s="248">
        <f t="shared" si="5"/>
        <v>0.57950401200000001</v>
      </c>
      <c r="H17" s="248">
        <f t="shared" si="5"/>
        <v>0.65106735599999999</v>
      </c>
      <c r="I17" s="248">
        <f t="shared" si="5"/>
        <v>0.72466443599999997</v>
      </c>
      <c r="J17" s="248">
        <f t="shared" si="5"/>
        <v>0.80484598800000007</v>
      </c>
      <c r="K17" s="248">
        <f t="shared" si="5"/>
        <v>0.89059514400000006</v>
      </c>
      <c r="L17" s="248">
        <f t="shared" si="5"/>
        <v>0.98041177200000007</v>
      </c>
    </row>
    <row r="18" spans="2:12" ht="17.25" customHeight="1">
      <c r="B18" s="241" t="s">
        <v>879</v>
      </c>
      <c r="C18" s="242">
        <f t="shared" si="4"/>
        <v>0.36765475600000053</v>
      </c>
      <c r="D18" s="242">
        <f t="shared" si="4"/>
        <v>0.79089323600000039</v>
      </c>
      <c r="E18" s="242">
        <f t="shared" si="4"/>
        <v>1.1808772639999998</v>
      </c>
      <c r="F18" s="242">
        <f t="shared" si="4"/>
        <v>1.4980068040000005</v>
      </c>
      <c r="G18" s="242">
        <f t="shared" si="4"/>
        <v>1.7228559880000001</v>
      </c>
      <c r="H18" s="242">
        <f t="shared" si="4"/>
        <v>1.9356126440000003</v>
      </c>
      <c r="I18" s="242">
        <f t="shared" si="4"/>
        <v>2.1544155640000002</v>
      </c>
      <c r="J18" s="242">
        <f t="shared" si="4"/>
        <v>2.3927940120000004</v>
      </c>
      <c r="K18" s="242">
        <f t="shared" si="4"/>
        <v>2.6477248560000004</v>
      </c>
      <c r="L18" s="242">
        <f t="shared" si="4"/>
        <v>2.9147482280000006</v>
      </c>
    </row>
    <row r="19" spans="2:12" ht="17.25" customHeight="1">
      <c r="B19" s="132"/>
      <c r="C19" s="126"/>
      <c r="D19" s="126"/>
      <c r="E19" s="126"/>
      <c r="F19" s="126"/>
      <c r="G19" s="126"/>
      <c r="H19" s="126"/>
      <c r="I19" s="126"/>
      <c r="J19" s="126"/>
      <c r="K19" s="126"/>
      <c r="L19" s="126"/>
    </row>
    <row r="20" spans="2:12" ht="16" customHeight="1">
      <c r="B20" s="139" t="s">
        <v>880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</row>
    <row r="21" spans="2:12" ht="16" customHeight="1">
      <c r="B21" s="132" t="s">
        <v>881</v>
      </c>
      <c r="C21" s="219">
        <f t="shared" ref="C21:L21" si="6">C18</f>
        <v>0.36765475600000053</v>
      </c>
      <c r="D21" s="219">
        <f t="shared" si="6"/>
        <v>0.79089323600000039</v>
      </c>
      <c r="E21" s="219">
        <f t="shared" si="6"/>
        <v>1.1808772639999998</v>
      </c>
      <c r="F21" s="219">
        <f t="shared" si="6"/>
        <v>1.4980068040000005</v>
      </c>
      <c r="G21" s="219">
        <f t="shared" si="6"/>
        <v>1.7228559880000001</v>
      </c>
      <c r="H21" s="219">
        <f t="shared" si="6"/>
        <v>1.9356126440000003</v>
      </c>
      <c r="I21" s="219">
        <f t="shared" si="6"/>
        <v>2.1544155640000002</v>
      </c>
      <c r="J21" s="219">
        <f t="shared" si="6"/>
        <v>2.3927940120000004</v>
      </c>
      <c r="K21" s="219">
        <f t="shared" si="6"/>
        <v>2.6477248560000004</v>
      </c>
      <c r="L21" s="219">
        <f t="shared" si="6"/>
        <v>2.9147482280000006</v>
      </c>
    </row>
    <row r="22" spans="2:12" ht="16" customHeight="1">
      <c r="B22" s="132" t="s">
        <v>882</v>
      </c>
      <c r="C22" s="219">
        <f t="shared" ref="C22:L22" si="7">C13</f>
        <v>1.04</v>
      </c>
      <c r="D22" s="219">
        <f t="shared" si="7"/>
        <v>1.04</v>
      </c>
      <c r="E22" s="219">
        <f t="shared" si="7"/>
        <v>1.04</v>
      </c>
      <c r="F22" s="219">
        <f t="shared" si="7"/>
        <v>1.04</v>
      </c>
      <c r="G22" s="219">
        <f t="shared" si="7"/>
        <v>1.04</v>
      </c>
      <c r="H22" s="219">
        <f t="shared" si="7"/>
        <v>1.04</v>
      </c>
      <c r="I22" s="219">
        <f t="shared" si="7"/>
        <v>1.04</v>
      </c>
      <c r="J22" s="219">
        <f t="shared" si="7"/>
        <v>1.04</v>
      </c>
      <c r="K22" s="219">
        <f t="shared" si="7"/>
        <v>1.04</v>
      </c>
      <c r="L22" s="219">
        <f t="shared" si="7"/>
        <v>1.04</v>
      </c>
    </row>
    <row r="23" spans="2:12" ht="16" customHeight="1">
      <c r="B23" s="132" t="s">
        <v>883</v>
      </c>
      <c r="C23" s="248">
        <v>0</v>
      </c>
      <c r="D23" s="248">
        <v>0</v>
      </c>
      <c r="E23" s="248">
        <v>0.41</v>
      </c>
      <c r="F23" s="248">
        <v>0.45</v>
      </c>
      <c r="G23" s="248">
        <v>0.5</v>
      </c>
      <c r="H23" s="248">
        <v>0.55000000000000004</v>
      </c>
      <c r="I23" s="248">
        <v>0.6</v>
      </c>
      <c r="J23" s="248">
        <v>0.66</v>
      </c>
      <c r="K23" s="248">
        <v>0.73</v>
      </c>
      <c r="L23" s="248">
        <v>0.8</v>
      </c>
    </row>
    <row r="24" spans="2:12" ht="16" customHeight="1">
      <c r="B24" s="132" t="s">
        <v>884</v>
      </c>
      <c r="C24" s="248">
        <v>0</v>
      </c>
      <c r="D24" s="248">
        <v>0</v>
      </c>
      <c r="E24" s="248">
        <f t="shared" ref="E24:L24" si="8">E7*0.03</f>
        <v>0.30059999999999998</v>
      </c>
      <c r="F24" s="248">
        <f t="shared" si="8"/>
        <v>0.3291</v>
      </c>
      <c r="G24" s="248">
        <f t="shared" si="8"/>
        <v>0.34770000000000001</v>
      </c>
      <c r="H24" s="248">
        <f t="shared" si="8"/>
        <v>0.36509999999999998</v>
      </c>
      <c r="I24" s="248">
        <f t="shared" si="8"/>
        <v>0.3831</v>
      </c>
      <c r="J24" s="248">
        <f t="shared" si="8"/>
        <v>0.40229999999999999</v>
      </c>
      <c r="K24" s="248">
        <f t="shared" si="8"/>
        <v>0.4224</v>
      </c>
      <c r="L24" s="248">
        <f t="shared" si="8"/>
        <v>0.44369999999999998</v>
      </c>
    </row>
    <row r="25" spans="2:12" ht="16" customHeight="1">
      <c r="B25" s="132" t="s">
        <v>885</v>
      </c>
      <c r="C25" s="248">
        <f t="shared" ref="C25:L25" si="9">C8*30/365</f>
        <v>0.35906958904109587</v>
      </c>
      <c r="D25" s="248">
        <f t="shared" si="9"/>
        <v>0.4276504109589041</v>
      </c>
      <c r="E25" s="248">
        <f t="shared" si="9"/>
        <v>0.49084273972602738</v>
      </c>
      <c r="F25" s="248">
        <f t="shared" si="9"/>
        <v>0.53737972602739725</v>
      </c>
      <c r="G25" s="248">
        <f t="shared" si="9"/>
        <v>0.56775123287671225</v>
      </c>
      <c r="H25" s="248">
        <f t="shared" si="9"/>
        <v>0.59616328767123283</v>
      </c>
      <c r="I25" s="248">
        <f t="shared" si="9"/>
        <v>0.62555506849315068</v>
      </c>
      <c r="J25" s="248">
        <f t="shared" si="9"/>
        <v>0.65690630136986294</v>
      </c>
      <c r="K25" s="248">
        <f t="shared" si="9"/>
        <v>0.68972712328767116</v>
      </c>
      <c r="L25" s="248">
        <f t="shared" si="9"/>
        <v>0.7245073972602738</v>
      </c>
    </row>
    <row r="26" spans="2:12" ht="16" customHeight="1">
      <c r="B26" s="132"/>
      <c r="C26" s="126"/>
      <c r="D26" s="126"/>
      <c r="E26" s="126"/>
      <c r="F26" s="126"/>
      <c r="G26" s="126"/>
      <c r="H26" s="126"/>
      <c r="I26" s="126"/>
      <c r="J26" s="126"/>
      <c r="K26" s="126"/>
      <c r="L26" s="126"/>
    </row>
    <row r="27" spans="2:12" ht="17.25" customHeight="1">
      <c r="B27" s="233" t="s">
        <v>886</v>
      </c>
      <c r="C27" s="234">
        <f t="shared" ref="C27:L27" si="10">C21+C22-C23-C24-C25</f>
        <v>1.0485851669589046</v>
      </c>
      <c r="D27" s="234">
        <f t="shared" si="10"/>
        <v>1.4032428250410964</v>
      </c>
      <c r="E27" s="234">
        <f t="shared" si="10"/>
        <v>1.0194345242739726</v>
      </c>
      <c r="F27" s="234">
        <f t="shared" si="10"/>
        <v>1.2215270779726031</v>
      </c>
      <c r="G27" s="234">
        <f t="shared" si="10"/>
        <v>1.3474047551232877</v>
      </c>
      <c r="H27" s="234">
        <f t="shared" si="10"/>
        <v>1.4643493563287673</v>
      </c>
      <c r="I27" s="234">
        <f t="shared" si="10"/>
        <v>1.5857604955068498</v>
      </c>
      <c r="J27" s="234">
        <f t="shared" si="10"/>
        <v>1.7135877106301374</v>
      </c>
      <c r="K27" s="234">
        <f t="shared" si="10"/>
        <v>1.8455977327123292</v>
      </c>
      <c r="L27" s="234">
        <f t="shared" si="10"/>
        <v>1.9865408307397272</v>
      </c>
    </row>
    <row r="28" spans="2:12" ht="17.25" customHeight="1">
      <c r="B28" s="149" t="s">
        <v>887</v>
      </c>
      <c r="C28" s="252">
        <f>C27-35.7</f>
        <v>-34.651414833041102</v>
      </c>
      <c r="D28" s="252">
        <f t="shared" ref="D28:L28" si="11">C28+D27</f>
        <v>-33.248172008000004</v>
      </c>
      <c r="E28" s="252">
        <f t="shared" si="11"/>
        <v>-32.228737483726029</v>
      </c>
      <c r="F28" s="252">
        <f t="shared" si="11"/>
        <v>-31.007210405753426</v>
      </c>
      <c r="G28" s="252">
        <f t="shared" si="11"/>
        <v>-29.659805650630137</v>
      </c>
      <c r="H28" s="252">
        <f t="shared" si="11"/>
        <v>-28.195456294301369</v>
      </c>
      <c r="I28" s="252">
        <f t="shared" si="11"/>
        <v>-26.609695798794519</v>
      </c>
      <c r="J28" s="252">
        <f t="shared" si="11"/>
        <v>-24.896108088164382</v>
      </c>
      <c r="K28" s="252">
        <f t="shared" si="11"/>
        <v>-23.050510355452055</v>
      </c>
      <c r="L28" s="252">
        <f t="shared" si="11"/>
        <v>-21.063969524712327</v>
      </c>
    </row>
    <row r="29" spans="2:12" ht="16" customHeight="1">
      <c r="B29" s="132"/>
      <c r="C29" s="126"/>
      <c r="D29" s="126"/>
      <c r="E29" s="126"/>
      <c r="F29" s="126"/>
      <c r="G29" s="126"/>
      <c r="H29" s="126"/>
      <c r="I29" s="126"/>
      <c r="J29" s="126"/>
      <c r="K29" s="126"/>
      <c r="L29" s="126"/>
    </row>
    <row r="30" spans="2:12" ht="80.25" customHeight="1">
      <c r="B30" s="236" t="s">
        <v>493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</row>
    <row r="31" spans="2:12" ht="80.25" customHeight="1">
      <c r="B31" s="244" t="s">
        <v>494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</row>
    <row r="32" spans="2:12" ht="16" customHeight="1">
      <c r="B32" s="245"/>
    </row>
  </sheetData>
  <mergeCells count="2">
    <mergeCell ref="B1:L1"/>
    <mergeCell ref="B2:L2"/>
  </mergeCell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F6A5-ECF8-87B8-B628-794FBCBB3C98}">
  <sheetPr>
    <tabColor rgb="FF3B7A3E"/>
  </sheetPr>
  <dimension ref="B1:M32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baseColWidth="10" defaultColWidth="9" defaultRowHeight="16" customHeight="1"/>
  <cols>
    <col min="1" max="1" width="2.5" customWidth="1"/>
    <col min="2" max="2" width="127.5" customWidth="1"/>
    <col min="3" max="12" width="6.83203125" customWidth="1"/>
  </cols>
  <sheetData>
    <row r="1" spans="2:13" ht="22.5" customHeight="1">
      <c r="B1" s="596" t="s">
        <v>888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</row>
    <row r="2" spans="2:13" ht="15" customHeight="1">
      <c r="B2" s="569" t="s">
        <v>496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4" spans="2:13" ht="18" customHeight="1">
      <c r="B4" s="125" t="s">
        <v>889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2:13" ht="16" customHeight="1">
      <c r="B5" s="127" t="s">
        <v>890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</row>
    <row r="6" spans="2:13" ht="16" customHeight="1">
      <c r="B6" s="247" t="s">
        <v>871</v>
      </c>
      <c r="C6" s="224" t="s">
        <v>331</v>
      </c>
      <c r="D6" s="224" t="s">
        <v>332</v>
      </c>
      <c r="E6" s="224" t="s">
        <v>333</v>
      </c>
      <c r="F6" s="224" t="s">
        <v>794</v>
      </c>
      <c r="G6" s="224" t="s">
        <v>334</v>
      </c>
      <c r="H6" s="224" t="s">
        <v>795</v>
      </c>
      <c r="I6" s="224" t="s">
        <v>335</v>
      </c>
      <c r="J6" s="224" t="s">
        <v>796</v>
      </c>
      <c r="K6" s="224" t="s">
        <v>552</v>
      </c>
      <c r="L6" s="224" t="s">
        <v>336</v>
      </c>
    </row>
    <row r="7" spans="2:13" ht="16" customHeight="1">
      <c r="B7" s="149" t="s">
        <v>891</v>
      </c>
      <c r="C7" s="219">
        <v>7.33</v>
      </c>
      <c r="D7" s="219">
        <v>8.73</v>
      </c>
      <c r="E7" s="219">
        <v>10.02</v>
      </c>
      <c r="F7" s="219">
        <v>12.64</v>
      </c>
      <c r="G7" s="219">
        <v>15.17</v>
      </c>
      <c r="H7" s="219">
        <v>15.93</v>
      </c>
      <c r="I7" s="219">
        <v>16.73</v>
      </c>
      <c r="J7" s="219">
        <v>17.57</v>
      </c>
      <c r="K7" s="219">
        <v>18.440000000000001</v>
      </c>
      <c r="L7" s="219">
        <v>19.37</v>
      </c>
    </row>
    <row r="8" spans="2:13" ht="16" customHeight="1">
      <c r="B8" s="132" t="s">
        <v>873</v>
      </c>
      <c r="C8" s="248">
        <f t="shared" ref="C8:L8" si="0">C7*0.596</f>
        <v>4.3686799999999995</v>
      </c>
      <c r="D8" s="248">
        <f t="shared" si="0"/>
        <v>5.2030799999999999</v>
      </c>
      <c r="E8" s="248">
        <f t="shared" si="0"/>
        <v>5.9719199999999999</v>
      </c>
      <c r="F8" s="248">
        <f t="shared" si="0"/>
        <v>7.5334399999999997</v>
      </c>
      <c r="G8" s="248">
        <f t="shared" si="0"/>
        <v>9.0413199999999989</v>
      </c>
      <c r="H8" s="248">
        <f t="shared" si="0"/>
        <v>9.4942799999999998</v>
      </c>
      <c r="I8" s="248">
        <f t="shared" si="0"/>
        <v>9.9710800000000006</v>
      </c>
      <c r="J8" s="248">
        <f t="shared" si="0"/>
        <v>10.471719999999999</v>
      </c>
      <c r="K8" s="248">
        <f t="shared" si="0"/>
        <v>10.99024</v>
      </c>
      <c r="L8" s="248">
        <f t="shared" si="0"/>
        <v>11.54452</v>
      </c>
    </row>
    <row r="9" spans="2:13" ht="16" customHeight="1">
      <c r="B9" s="132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2:13" ht="16" customHeight="1">
      <c r="B10" s="136" t="s">
        <v>347</v>
      </c>
      <c r="C10" s="220">
        <f t="shared" ref="C10:L10" si="1">C7-C8</f>
        <v>2.9613200000000006</v>
      </c>
      <c r="D10" s="220">
        <f t="shared" si="1"/>
        <v>3.5269200000000005</v>
      </c>
      <c r="E10" s="220">
        <f t="shared" si="1"/>
        <v>4.0480799999999997</v>
      </c>
      <c r="F10" s="220">
        <f t="shared" si="1"/>
        <v>5.1065600000000009</v>
      </c>
      <c r="G10" s="220">
        <f t="shared" si="1"/>
        <v>6.128680000000001</v>
      </c>
      <c r="H10" s="220">
        <f t="shared" si="1"/>
        <v>6.4357199999999999</v>
      </c>
      <c r="I10" s="220">
        <f t="shared" si="1"/>
        <v>6.7589199999999998</v>
      </c>
      <c r="J10" s="220">
        <f t="shared" si="1"/>
        <v>7.0982800000000008</v>
      </c>
      <c r="K10" s="220">
        <f t="shared" si="1"/>
        <v>7.4497600000000013</v>
      </c>
      <c r="L10" s="220">
        <f t="shared" si="1"/>
        <v>7.8254800000000007</v>
      </c>
    </row>
    <row r="11" spans="2:13" ht="16" customHeight="1">
      <c r="B11" s="132" t="s">
        <v>863</v>
      </c>
      <c r="C11" s="150">
        <f t="shared" ref="C11:L11" si="2">C10/C7</f>
        <v>0.40400000000000008</v>
      </c>
      <c r="D11" s="150">
        <f t="shared" si="2"/>
        <v>0.40400000000000003</v>
      </c>
      <c r="E11" s="150">
        <f t="shared" si="2"/>
        <v>0.40399999999999997</v>
      </c>
      <c r="F11" s="150">
        <f t="shared" si="2"/>
        <v>0.40400000000000003</v>
      </c>
      <c r="G11" s="150">
        <f t="shared" si="2"/>
        <v>0.40400000000000008</v>
      </c>
      <c r="H11" s="150">
        <f t="shared" si="2"/>
        <v>0.40400000000000003</v>
      </c>
      <c r="I11" s="150">
        <f t="shared" si="2"/>
        <v>0.40399999999999997</v>
      </c>
      <c r="J11" s="150">
        <f t="shared" si="2"/>
        <v>0.40400000000000003</v>
      </c>
      <c r="K11" s="150">
        <f t="shared" si="2"/>
        <v>0.40400000000000003</v>
      </c>
      <c r="L11" s="150">
        <f t="shared" si="2"/>
        <v>0.40400000000000003</v>
      </c>
    </row>
    <row r="12" spans="2:13" ht="16" customHeight="1">
      <c r="B12" s="132"/>
      <c r="C12" s="126"/>
      <c r="D12" s="126"/>
      <c r="E12" s="126"/>
      <c r="F12" s="126"/>
      <c r="G12" s="126"/>
      <c r="H12" s="126"/>
      <c r="I12" s="126"/>
      <c r="J12" s="126"/>
      <c r="K12" s="126"/>
      <c r="L12" s="126"/>
    </row>
    <row r="13" spans="2:13" ht="16" customHeight="1">
      <c r="B13" s="132" t="s">
        <v>874</v>
      </c>
      <c r="C13" s="248">
        <v>1.04</v>
      </c>
      <c r="D13" s="248">
        <v>1.04</v>
      </c>
      <c r="E13" s="248">
        <v>1.04</v>
      </c>
      <c r="F13" s="248">
        <v>1.33</v>
      </c>
      <c r="G13" s="248">
        <v>1.33</v>
      </c>
      <c r="H13" s="248">
        <v>1.33</v>
      </c>
      <c r="I13" s="248">
        <v>1.33</v>
      </c>
      <c r="J13" s="248">
        <v>1.33</v>
      </c>
      <c r="K13" s="248">
        <v>1.33</v>
      </c>
      <c r="L13" s="248">
        <v>1.33</v>
      </c>
    </row>
    <row r="14" spans="2:13" ht="16" customHeight="1">
      <c r="B14" s="149" t="s">
        <v>875</v>
      </c>
      <c r="C14" s="219">
        <f t="shared" ref="C14:L14" si="3">C10-C13</f>
        <v>1.9213200000000006</v>
      </c>
      <c r="D14" s="219">
        <f t="shared" si="3"/>
        <v>2.4869200000000005</v>
      </c>
      <c r="E14" s="219">
        <f t="shared" si="3"/>
        <v>3.0080799999999996</v>
      </c>
      <c r="F14" s="219">
        <f t="shared" si="3"/>
        <v>3.7765600000000008</v>
      </c>
      <c r="G14" s="219">
        <f t="shared" si="3"/>
        <v>4.7986800000000009</v>
      </c>
      <c r="H14" s="219">
        <f t="shared" si="3"/>
        <v>5.1057199999999998</v>
      </c>
      <c r="I14" s="219">
        <f t="shared" si="3"/>
        <v>5.4289199999999997</v>
      </c>
      <c r="J14" s="219">
        <f t="shared" si="3"/>
        <v>5.7682800000000007</v>
      </c>
      <c r="K14" s="219">
        <f t="shared" si="3"/>
        <v>6.1197600000000012</v>
      </c>
      <c r="L14" s="219">
        <f t="shared" si="3"/>
        <v>6.4954800000000006</v>
      </c>
    </row>
    <row r="15" spans="2:13" ht="16" customHeight="1">
      <c r="B15" s="132" t="s">
        <v>876</v>
      </c>
      <c r="C15" s="248">
        <v>1.43</v>
      </c>
      <c r="D15" s="248">
        <v>1.43</v>
      </c>
      <c r="E15" s="248">
        <v>1.43</v>
      </c>
      <c r="F15" s="248">
        <v>1.68</v>
      </c>
      <c r="G15" s="248">
        <v>1.63</v>
      </c>
      <c r="H15" s="248">
        <v>1.58</v>
      </c>
      <c r="I15" s="248">
        <v>1.52</v>
      </c>
      <c r="J15" s="248">
        <v>1.45</v>
      </c>
      <c r="K15" s="248">
        <v>1.37</v>
      </c>
      <c r="L15" s="248">
        <v>1.29</v>
      </c>
    </row>
    <row r="16" spans="2:13" ht="16" customHeight="1">
      <c r="B16" s="136" t="s">
        <v>877</v>
      </c>
      <c r="C16" s="251">
        <f t="shared" ref="C16:L18" si="4">C14-C15</f>
        <v>0.49132000000000065</v>
      </c>
      <c r="D16" s="251">
        <f t="shared" si="4"/>
        <v>1.0569200000000005</v>
      </c>
      <c r="E16" s="251">
        <f t="shared" si="4"/>
        <v>1.5780799999999997</v>
      </c>
      <c r="F16" s="251">
        <f t="shared" si="4"/>
        <v>2.0965600000000011</v>
      </c>
      <c r="G16" s="251">
        <f t="shared" si="4"/>
        <v>3.1686800000000011</v>
      </c>
      <c r="H16" s="251">
        <f t="shared" si="4"/>
        <v>3.5257199999999997</v>
      </c>
      <c r="I16" s="251">
        <f t="shared" si="4"/>
        <v>3.9089199999999997</v>
      </c>
      <c r="J16" s="251">
        <f t="shared" si="4"/>
        <v>4.3182800000000006</v>
      </c>
      <c r="K16" s="251">
        <f t="shared" si="4"/>
        <v>4.7497600000000011</v>
      </c>
      <c r="L16" s="251">
        <f t="shared" si="4"/>
        <v>5.2054800000000006</v>
      </c>
    </row>
    <row r="17" spans="2:12" ht="16" customHeight="1">
      <c r="B17" s="132" t="s">
        <v>878</v>
      </c>
      <c r="C17" s="248">
        <f t="shared" ref="C17:L17" si="5">MAX(C16*0.2517,0)</f>
        <v>0.12366524400000015</v>
      </c>
      <c r="D17" s="248">
        <f t="shared" si="5"/>
        <v>0.26602676400000014</v>
      </c>
      <c r="E17" s="248">
        <f t="shared" si="5"/>
        <v>0.39720273599999989</v>
      </c>
      <c r="F17" s="248">
        <f t="shared" si="5"/>
        <v>0.5277041520000002</v>
      </c>
      <c r="G17" s="248">
        <f t="shared" si="5"/>
        <v>0.7975567560000002</v>
      </c>
      <c r="H17" s="248">
        <f t="shared" si="5"/>
        <v>0.88742372399999991</v>
      </c>
      <c r="I17" s="248">
        <f t="shared" si="5"/>
        <v>0.98387516399999986</v>
      </c>
      <c r="J17" s="248">
        <f t="shared" si="5"/>
        <v>1.086911076</v>
      </c>
      <c r="K17" s="248">
        <f t="shared" si="5"/>
        <v>1.1955145920000001</v>
      </c>
      <c r="L17" s="248">
        <f t="shared" si="5"/>
        <v>1.310219316</v>
      </c>
    </row>
    <row r="18" spans="2:12" ht="17.25" customHeight="1">
      <c r="B18" s="241" t="s">
        <v>879</v>
      </c>
      <c r="C18" s="242">
        <f t="shared" si="4"/>
        <v>0.36765475600000053</v>
      </c>
      <c r="D18" s="242">
        <f t="shared" si="4"/>
        <v>0.79089323600000039</v>
      </c>
      <c r="E18" s="242">
        <f t="shared" si="4"/>
        <v>1.1808772639999998</v>
      </c>
      <c r="F18" s="242">
        <f t="shared" si="4"/>
        <v>1.568855848000001</v>
      </c>
      <c r="G18" s="242">
        <f t="shared" si="4"/>
        <v>2.371123244000001</v>
      </c>
      <c r="H18" s="242">
        <f t="shared" si="4"/>
        <v>2.6382962759999997</v>
      </c>
      <c r="I18" s="242">
        <f t="shared" si="4"/>
        <v>2.9250448359999996</v>
      </c>
      <c r="J18" s="242">
        <f t="shared" si="4"/>
        <v>3.2313689240000008</v>
      </c>
      <c r="K18" s="242">
        <f t="shared" si="4"/>
        <v>3.5542454080000008</v>
      </c>
      <c r="L18" s="242">
        <f t="shared" si="4"/>
        <v>3.8952606840000006</v>
      </c>
    </row>
    <row r="19" spans="2:12" ht="17.25" customHeight="1">
      <c r="B19" s="132"/>
      <c r="C19" s="126"/>
      <c r="D19" s="126"/>
      <c r="E19" s="126"/>
      <c r="F19" s="126"/>
      <c r="G19" s="126"/>
      <c r="H19" s="126"/>
      <c r="I19" s="126"/>
      <c r="J19" s="126"/>
      <c r="K19" s="126"/>
      <c r="L19" s="126"/>
    </row>
    <row r="20" spans="2:12" ht="16" customHeight="1">
      <c r="B20" s="139" t="s">
        <v>880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</row>
    <row r="21" spans="2:12" ht="16" customHeight="1">
      <c r="B21" s="132" t="s">
        <v>881</v>
      </c>
      <c r="C21" s="219">
        <f t="shared" ref="C21:L21" si="6">C18</f>
        <v>0.36765475600000053</v>
      </c>
      <c r="D21" s="219">
        <f t="shared" si="6"/>
        <v>0.79089323600000039</v>
      </c>
      <c r="E21" s="219">
        <f t="shared" si="6"/>
        <v>1.1808772639999998</v>
      </c>
      <c r="F21" s="219">
        <f t="shared" si="6"/>
        <v>1.568855848000001</v>
      </c>
      <c r="G21" s="219">
        <f t="shared" si="6"/>
        <v>2.371123244000001</v>
      </c>
      <c r="H21" s="219">
        <f t="shared" si="6"/>
        <v>2.6382962759999997</v>
      </c>
      <c r="I21" s="219">
        <f t="shared" si="6"/>
        <v>2.9250448359999996</v>
      </c>
      <c r="J21" s="219">
        <f t="shared" si="6"/>
        <v>3.2313689240000008</v>
      </c>
      <c r="K21" s="219">
        <f t="shared" si="6"/>
        <v>3.5542454080000008</v>
      </c>
      <c r="L21" s="219">
        <f t="shared" si="6"/>
        <v>3.8952606840000006</v>
      </c>
    </row>
    <row r="22" spans="2:12" ht="16" customHeight="1">
      <c r="B22" s="132" t="s">
        <v>892</v>
      </c>
      <c r="C22" s="219">
        <f t="shared" ref="C22:L22" si="7">C13</f>
        <v>1.04</v>
      </c>
      <c r="D22" s="219">
        <f t="shared" si="7"/>
        <v>1.04</v>
      </c>
      <c r="E22" s="219">
        <f t="shared" si="7"/>
        <v>1.04</v>
      </c>
      <c r="F22" s="219">
        <f t="shared" si="7"/>
        <v>1.33</v>
      </c>
      <c r="G22" s="219">
        <f t="shared" si="7"/>
        <v>1.33</v>
      </c>
      <c r="H22" s="219">
        <f t="shared" si="7"/>
        <v>1.33</v>
      </c>
      <c r="I22" s="219">
        <f t="shared" si="7"/>
        <v>1.33</v>
      </c>
      <c r="J22" s="219">
        <f t="shared" si="7"/>
        <v>1.33</v>
      </c>
      <c r="K22" s="219">
        <f t="shared" si="7"/>
        <v>1.33</v>
      </c>
      <c r="L22" s="219">
        <f t="shared" si="7"/>
        <v>1.33</v>
      </c>
    </row>
    <row r="23" spans="2:12" ht="16" customHeight="1">
      <c r="B23" s="132" t="s">
        <v>893</v>
      </c>
      <c r="C23" s="248">
        <v>0</v>
      </c>
      <c r="D23" s="248">
        <v>0</v>
      </c>
      <c r="E23" s="248">
        <v>0</v>
      </c>
      <c r="F23" s="248">
        <v>7.3</v>
      </c>
      <c r="G23" s="248">
        <v>0</v>
      </c>
      <c r="H23" s="248">
        <v>0</v>
      </c>
      <c r="I23" s="248">
        <v>0</v>
      </c>
      <c r="J23" s="248">
        <v>0</v>
      </c>
      <c r="K23" s="248">
        <v>0</v>
      </c>
      <c r="L23" s="248">
        <v>0</v>
      </c>
    </row>
    <row r="24" spans="2:12" ht="16" customHeight="1">
      <c r="B24" s="132" t="s">
        <v>883</v>
      </c>
      <c r="C24" s="248">
        <v>0</v>
      </c>
      <c r="D24" s="248">
        <v>0</v>
      </c>
      <c r="E24" s="248">
        <v>0.41</v>
      </c>
      <c r="F24" s="248">
        <v>0.45</v>
      </c>
      <c r="G24" s="248">
        <v>0.5</v>
      </c>
      <c r="H24" s="248">
        <v>0.63</v>
      </c>
      <c r="I24" s="248">
        <v>0.7</v>
      </c>
      <c r="J24" s="248">
        <v>0.77</v>
      </c>
      <c r="K24" s="248">
        <v>0.84</v>
      </c>
      <c r="L24" s="248">
        <v>0.93</v>
      </c>
    </row>
    <row r="25" spans="2:12" ht="16" customHeight="1">
      <c r="B25" s="132" t="s">
        <v>884</v>
      </c>
      <c r="C25" s="248">
        <v>0</v>
      </c>
      <c r="D25" s="248">
        <v>0</v>
      </c>
      <c r="E25" s="248">
        <f t="shared" ref="E25:L25" si="8">E7*0.03</f>
        <v>0.30059999999999998</v>
      </c>
      <c r="F25" s="248">
        <f t="shared" si="8"/>
        <v>0.37919999999999998</v>
      </c>
      <c r="G25" s="248">
        <f t="shared" si="8"/>
        <v>0.4551</v>
      </c>
      <c r="H25" s="248">
        <f t="shared" si="8"/>
        <v>0.47789999999999999</v>
      </c>
      <c r="I25" s="248">
        <f t="shared" si="8"/>
        <v>0.50190000000000001</v>
      </c>
      <c r="J25" s="248">
        <f t="shared" si="8"/>
        <v>0.52710000000000001</v>
      </c>
      <c r="K25" s="248">
        <f t="shared" si="8"/>
        <v>0.55320000000000003</v>
      </c>
      <c r="L25" s="248">
        <f t="shared" si="8"/>
        <v>0.58110000000000006</v>
      </c>
    </row>
    <row r="26" spans="2:12" ht="16" customHeight="1">
      <c r="B26" s="132" t="s">
        <v>885</v>
      </c>
      <c r="C26" s="248">
        <f t="shared" ref="C26:L26" si="9">C8*30/365</f>
        <v>0.35906958904109587</v>
      </c>
      <c r="D26" s="248">
        <f t="shared" si="9"/>
        <v>0.4276504109589041</v>
      </c>
      <c r="E26" s="248">
        <f t="shared" si="9"/>
        <v>0.49084273972602738</v>
      </c>
      <c r="F26" s="248">
        <f t="shared" si="9"/>
        <v>0.61918684931506851</v>
      </c>
      <c r="G26" s="248">
        <f t="shared" si="9"/>
        <v>0.74312219178082195</v>
      </c>
      <c r="H26" s="248">
        <f t="shared" si="9"/>
        <v>0.78035178082191781</v>
      </c>
      <c r="I26" s="248">
        <f t="shared" si="9"/>
        <v>0.8195408219178083</v>
      </c>
      <c r="J26" s="248">
        <f t="shared" si="9"/>
        <v>0.86068931506849311</v>
      </c>
      <c r="K26" s="248">
        <f t="shared" si="9"/>
        <v>0.90330739726027398</v>
      </c>
      <c r="L26" s="248">
        <f t="shared" si="9"/>
        <v>0.94886465753424654</v>
      </c>
    </row>
    <row r="27" spans="2:12" ht="16" customHeight="1">
      <c r="B27" s="132"/>
      <c r="C27" s="126"/>
      <c r="D27" s="126"/>
      <c r="E27" s="126"/>
      <c r="F27" s="126"/>
      <c r="G27" s="126"/>
      <c r="H27" s="126"/>
      <c r="I27" s="126"/>
      <c r="J27" s="126"/>
      <c r="K27" s="126"/>
      <c r="L27" s="126"/>
    </row>
    <row r="28" spans="2:12" ht="17.25" customHeight="1">
      <c r="B28" s="233" t="s">
        <v>886</v>
      </c>
      <c r="C28" s="234">
        <f t="shared" ref="C28:L28" si="10">C21+C22-C23-C24-C25-C26</f>
        <v>1.0485851669589046</v>
      </c>
      <c r="D28" s="234">
        <f t="shared" si="10"/>
        <v>1.4032428250410964</v>
      </c>
      <c r="E28" s="234">
        <f t="shared" si="10"/>
        <v>1.0194345242739726</v>
      </c>
      <c r="F28" s="234">
        <f t="shared" si="10"/>
        <v>-5.8495310013150679</v>
      </c>
      <c r="G28" s="234">
        <f t="shared" si="10"/>
        <v>2.0029010522191792</v>
      </c>
      <c r="H28" s="234">
        <f t="shared" si="10"/>
        <v>2.0800444951780821</v>
      </c>
      <c r="I28" s="234">
        <f t="shared" si="10"/>
        <v>2.2336040140821911</v>
      </c>
      <c r="J28" s="234">
        <f t="shared" si="10"/>
        <v>2.4035796089315076</v>
      </c>
      <c r="K28" s="234">
        <f t="shared" si="10"/>
        <v>2.5877380107397272</v>
      </c>
      <c r="L28" s="234">
        <f t="shared" si="10"/>
        <v>2.7652960264657538</v>
      </c>
    </row>
    <row r="29" spans="2:12" ht="17.25" customHeight="1">
      <c r="B29" s="149" t="s">
        <v>894</v>
      </c>
      <c r="C29" s="252">
        <f>C28-35.7</f>
        <v>-34.651414833041102</v>
      </c>
      <c r="D29" s="252">
        <f t="shared" ref="D29:L29" si="11">C29+D28</f>
        <v>-33.248172008000004</v>
      </c>
      <c r="E29" s="252">
        <f t="shared" si="11"/>
        <v>-32.228737483726029</v>
      </c>
      <c r="F29" s="252">
        <f t="shared" si="11"/>
        <v>-38.078268485041093</v>
      </c>
      <c r="G29" s="252">
        <f t="shared" si="11"/>
        <v>-36.075367432821913</v>
      </c>
      <c r="H29" s="252">
        <f t="shared" si="11"/>
        <v>-33.995322937643834</v>
      </c>
      <c r="I29" s="252">
        <f t="shared" si="11"/>
        <v>-31.761718923561645</v>
      </c>
      <c r="J29" s="252">
        <f t="shared" si="11"/>
        <v>-29.358139314630137</v>
      </c>
      <c r="K29" s="252">
        <f t="shared" si="11"/>
        <v>-26.770401303890409</v>
      </c>
      <c r="L29" s="252">
        <f t="shared" si="11"/>
        <v>-24.005105277424654</v>
      </c>
    </row>
    <row r="30" spans="2:12" ht="16" customHeight="1">
      <c r="B30" s="132"/>
      <c r="C30" s="126"/>
      <c r="D30" s="126"/>
      <c r="E30" s="126"/>
      <c r="F30" s="126"/>
      <c r="G30" s="126"/>
      <c r="H30" s="126"/>
      <c r="I30" s="126"/>
      <c r="J30" s="126"/>
      <c r="K30" s="126"/>
      <c r="L30" s="126"/>
    </row>
    <row r="31" spans="2:12" ht="80.25" customHeight="1">
      <c r="B31" s="236" t="s">
        <v>493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</row>
    <row r="32" spans="2:12" ht="80.25" customHeight="1">
      <c r="B32" s="244" t="s">
        <v>494</v>
      </c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</sheetData>
  <mergeCells count="2">
    <mergeCell ref="B1:M1"/>
    <mergeCell ref="B2:M2"/>
  </mergeCells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29C2B-64B1-40FB-FAC8-E1BACE5149D1}">
  <sheetPr>
    <tabColor rgb="FFC9952B"/>
  </sheetPr>
  <dimension ref="B2:S100"/>
  <sheetViews>
    <sheetView showGridLines="0" workbookViewId="0">
      <pane ySplit="4" topLeftCell="A45" activePane="bottomLeft" state="frozen"/>
      <selection pane="bottomLeft"/>
    </sheetView>
  </sheetViews>
  <sheetFormatPr baseColWidth="10" defaultColWidth="9" defaultRowHeight="16" customHeight="1"/>
  <cols>
    <col min="1" max="1" width="2.5" customWidth="1"/>
    <col min="2" max="2" width="27.5" customWidth="1"/>
    <col min="3" max="3" width="25" customWidth="1"/>
    <col min="4" max="4" width="50" customWidth="1"/>
    <col min="5" max="5" width="20.33203125" customWidth="1"/>
    <col min="6" max="6" width="11.83203125" customWidth="1"/>
    <col min="7" max="7" width="6.5" customWidth="1"/>
    <col min="8" max="10" width="6" customWidth="1"/>
    <col min="11" max="12" width="5.83203125" customWidth="1"/>
    <col min="13" max="13" width="6.83203125" customWidth="1"/>
    <col min="15" max="15" width="20.83203125" customWidth="1"/>
    <col min="16" max="19" width="19.33203125" customWidth="1"/>
  </cols>
  <sheetData>
    <row r="2" spans="2:19" ht="18" customHeight="1">
      <c r="B2" s="125" t="s">
        <v>895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2:19" ht="16" customHeight="1">
      <c r="B3" s="127" t="s">
        <v>896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2:19" ht="16" customHeight="1"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</row>
    <row r="5" spans="2:19" ht="29.25" customHeight="1">
      <c r="B5" s="128" t="s">
        <v>897</v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6"/>
      <c r="O5" s="601" t="s">
        <v>898</v>
      </c>
      <c r="P5" s="540"/>
      <c r="Q5" s="540"/>
      <c r="R5" s="540"/>
      <c r="S5" s="540"/>
    </row>
    <row r="6" spans="2:19" ht="16" customHeight="1">
      <c r="B6" s="130"/>
      <c r="C6" s="131" t="s">
        <v>899</v>
      </c>
      <c r="D6" s="131" t="s">
        <v>331</v>
      </c>
      <c r="E6" s="131" t="s">
        <v>332</v>
      </c>
      <c r="F6" s="131" t="s">
        <v>333</v>
      </c>
      <c r="G6" s="131" t="s">
        <v>794</v>
      </c>
      <c r="H6" s="131" t="s">
        <v>334</v>
      </c>
      <c r="I6" s="131" t="s">
        <v>795</v>
      </c>
      <c r="J6" s="131" t="s">
        <v>335</v>
      </c>
      <c r="K6" s="131" t="s">
        <v>796</v>
      </c>
      <c r="L6" s="131" t="s">
        <v>552</v>
      </c>
      <c r="M6" s="131" t="s">
        <v>336</v>
      </c>
    </row>
    <row r="7" spans="2:19" ht="16" customHeight="1">
      <c r="B7" s="132" t="s">
        <v>347</v>
      </c>
      <c r="C7" s="219">
        <v>0</v>
      </c>
      <c r="D7" s="219">
        <v>2.93</v>
      </c>
      <c r="E7" s="219">
        <v>3.53</v>
      </c>
      <c r="F7" s="219">
        <v>4.05</v>
      </c>
      <c r="G7" s="219">
        <v>4.43</v>
      </c>
      <c r="H7" s="219">
        <v>4.4800000000000004</v>
      </c>
      <c r="I7" s="219">
        <v>4.87</v>
      </c>
      <c r="J7" s="219">
        <v>5.3</v>
      </c>
      <c r="K7" s="219">
        <v>5.58</v>
      </c>
      <c r="L7" s="219">
        <v>5.84</v>
      </c>
      <c r="M7" s="219">
        <v>6.12</v>
      </c>
      <c r="O7" s="620" t="s">
        <v>900</v>
      </c>
      <c r="P7" s="540"/>
      <c r="Q7" s="540"/>
      <c r="R7" s="540"/>
      <c r="S7" s="540"/>
    </row>
    <row r="8" spans="2:19" ht="16" customHeight="1">
      <c r="B8" s="132" t="s">
        <v>901</v>
      </c>
      <c r="C8" s="248">
        <v>0</v>
      </c>
      <c r="D8" s="248">
        <v>0</v>
      </c>
      <c r="E8" s="248">
        <v>0</v>
      </c>
      <c r="F8" s="248">
        <v>0</v>
      </c>
      <c r="G8" s="248">
        <v>0</v>
      </c>
      <c r="H8" s="248">
        <v>0</v>
      </c>
      <c r="I8" s="248">
        <v>0</v>
      </c>
      <c r="J8" s="248">
        <v>0</v>
      </c>
      <c r="K8" s="248">
        <v>0</v>
      </c>
      <c r="L8" s="248">
        <v>0</v>
      </c>
      <c r="M8" s="248">
        <v>0</v>
      </c>
    </row>
    <row r="9" spans="2:19" ht="16" customHeight="1">
      <c r="B9" s="132" t="s">
        <v>902</v>
      </c>
      <c r="C9" s="219">
        <v>0</v>
      </c>
      <c r="D9" s="219">
        <v>0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219">
        <v>0</v>
      </c>
      <c r="K9" s="219">
        <v>0</v>
      </c>
      <c r="L9" s="219">
        <v>0</v>
      </c>
      <c r="M9" s="219">
        <v>82.1</v>
      </c>
      <c r="O9" s="253" t="s">
        <v>903</v>
      </c>
      <c r="P9" s="253" t="s">
        <v>440</v>
      </c>
      <c r="Q9" s="253" t="s">
        <v>437</v>
      </c>
      <c r="R9" s="253" t="s">
        <v>441</v>
      </c>
      <c r="S9" s="253" t="s">
        <v>904</v>
      </c>
    </row>
    <row r="10" spans="2:19" ht="16" customHeight="1">
      <c r="B10" s="149" t="s">
        <v>905</v>
      </c>
      <c r="C10" s="254">
        <v>-35.700000000000003</v>
      </c>
      <c r="D10" s="254">
        <f t="shared" ref="D10:M10" si="0">D7-D8+D9</f>
        <v>2.93</v>
      </c>
      <c r="E10" s="254">
        <f t="shared" si="0"/>
        <v>3.53</v>
      </c>
      <c r="F10" s="254">
        <f t="shared" si="0"/>
        <v>4.05</v>
      </c>
      <c r="G10" s="254">
        <f t="shared" si="0"/>
        <v>4.43</v>
      </c>
      <c r="H10" s="254">
        <f t="shared" si="0"/>
        <v>4.4800000000000004</v>
      </c>
      <c r="I10" s="254">
        <f t="shared" si="0"/>
        <v>4.87</v>
      </c>
      <c r="J10" s="254">
        <f t="shared" si="0"/>
        <v>5.3</v>
      </c>
      <c r="K10" s="254">
        <f t="shared" si="0"/>
        <v>5.58</v>
      </c>
      <c r="L10" s="254">
        <f t="shared" si="0"/>
        <v>5.84</v>
      </c>
      <c r="M10" s="254">
        <f t="shared" si="0"/>
        <v>88.22</v>
      </c>
      <c r="O10" s="255" t="s">
        <v>440</v>
      </c>
      <c r="P10" s="256">
        <v>-2.5</v>
      </c>
      <c r="Q10" s="257">
        <v>3.2</v>
      </c>
      <c r="R10" s="257">
        <v>9.8000000000000007</v>
      </c>
      <c r="S10" s="258">
        <v>13.2</v>
      </c>
    </row>
    <row r="11" spans="2:19" ht="16" customHeight="1">
      <c r="B11" s="132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O11" s="255" t="s">
        <v>435</v>
      </c>
      <c r="P11" s="257">
        <v>2.1</v>
      </c>
      <c r="Q11" s="257">
        <v>7.5</v>
      </c>
      <c r="R11" s="258">
        <v>14.2</v>
      </c>
      <c r="S11" s="258">
        <v>18.5</v>
      </c>
    </row>
    <row r="12" spans="2:19" ht="16" customHeight="1">
      <c r="B12" s="141" t="s">
        <v>906</v>
      </c>
      <c r="C12" s="225"/>
      <c r="D12" s="225"/>
      <c r="E12" s="126"/>
      <c r="F12" s="126"/>
      <c r="G12" s="126"/>
      <c r="H12" s="126"/>
      <c r="I12" s="126"/>
      <c r="J12" s="126"/>
      <c r="K12" s="126"/>
      <c r="L12" s="126"/>
      <c r="M12" s="126"/>
      <c r="O12" s="255" t="s">
        <v>907</v>
      </c>
      <c r="P12" s="257">
        <v>6.1</v>
      </c>
      <c r="Q12" s="259">
        <v>15.9</v>
      </c>
      <c r="R12" s="260">
        <v>22.4</v>
      </c>
      <c r="S12" s="260">
        <v>27.8</v>
      </c>
    </row>
    <row r="13" spans="2:19" ht="16" customHeight="1">
      <c r="B13" s="132" t="s">
        <v>378</v>
      </c>
      <c r="C13" s="201">
        <f t="shared" ref="C13:C29" si="1">IRR(C10:M10)</f>
        <v>0.17603612066893515</v>
      </c>
      <c r="D13" s="261" t="s">
        <v>908</v>
      </c>
      <c r="E13" s="126"/>
      <c r="F13" s="126"/>
      <c r="G13" s="126"/>
      <c r="H13" s="126"/>
      <c r="I13" s="126"/>
      <c r="J13" s="126"/>
      <c r="K13" s="126"/>
      <c r="L13" s="126"/>
      <c r="M13" s="126"/>
      <c r="O13" s="255" t="s">
        <v>439</v>
      </c>
      <c r="P13" s="258">
        <v>10.8</v>
      </c>
      <c r="Q13" s="260">
        <v>21.2</v>
      </c>
      <c r="R13" s="260">
        <v>28.5</v>
      </c>
      <c r="S13" s="260">
        <v>34.1</v>
      </c>
    </row>
    <row r="14" spans="2:19" ht="16" customHeight="1">
      <c r="B14" s="132" t="s">
        <v>42</v>
      </c>
      <c r="C14" s="262">
        <f t="shared" ref="C14:C30" si="2">NPV(0.175,D10:M10)+C10</f>
        <v>0.22650427136776585</v>
      </c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O14" s="255" t="s">
        <v>441</v>
      </c>
      <c r="P14" s="258">
        <v>15.2</v>
      </c>
      <c r="Q14" s="260">
        <v>26.8</v>
      </c>
      <c r="R14" s="260">
        <v>35.200000000000003</v>
      </c>
      <c r="S14" s="260">
        <v>41.8</v>
      </c>
    </row>
    <row r="15" spans="2:19" ht="16" customHeight="1">
      <c r="B15" s="132" t="s">
        <v>49</v>
      </c>
      <c r="C15" s="263">
        <f t="shared" ref="C15:C31" si="3">SUM(D10:M10)/(-C10)</f>
        <v>3.6198879551820728</v>
      </c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O15" s="255" t="s">
        <v>904</v>
      </c>
      <c r="P15" s="258">
        <v>19.5</v>
      </c>
      <c r="Q15" s="260">
        <v>32.1</v>
      </c>
      <c r="R15" s="260">
        <v>42.5</v>
      </c>
      <c r="S15" s="260">
        <v>50.2</v>
      </c>
    </row>
    <row r="16" spans="2:19" ht="16" customHeight="1">
      <c r="B16" t="s">
        <v>909</v>
      </c>
      <c r="C16" s="264">
        <v>9.8000000000000007</v>
      </c>
      <c r="D16" t="s">
        <v>910</v>
      </c>
    </row>
    <row r="17" spans="2:19" ht="16" customHeight="1">
      <c r="B17" s="132" t="s">
        <v>911</v>
      </c>
      <c r="C17" s="265">
        <f t="shared" ref="C17:C33" si="4">M9</f>
        <v>82.1</v>
      </c>
      <c r="D17" s="126"/>
      <c r="E17" s="126"/>
      <c r="F17" s="126"/>
      <c r="G17" s="126"/>
      <c r="H17" s="126"/>
      <c r="I17" s="126"/>
      <c r="J17" s="126"/>
      <c r="K17" s="126"/>
      <c r="L17" s="126"/>
      <c r="M17" s="126"/>
    </row>
    <row r="18" spans="2:19" ht="16" customHeight="1">
      <c r="B18" s="132" t="s">
        <v>20</v>
      </c>
      <c r="C18" s="180">
        <v>0.17499999999999999</v>
      </c>
      <c r="D18" s="126" t="s">
        <v>912</v>
      </c>
      <c r="E18" s="126"/>
      <c r="F18" s="126"/>
      <c r="G18" s="126"/>
      <c r="H18" s="126"/>
      <c r="I18" s="126"/>
      <c r="J18" s="126"/>
      <c r="K18" s="126"/>
      <c r="L18" s="126"/>
      <c r="M18" s="126"/>
    </row>
    <row r="19" spans="2:19" ht="16" customHeight="1">
      <c r="B19" s="132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</row>
    <row r="20" spans="2:19" ht="32.25" customHeight="1">
      <c r="B20" s="231" t="s">
        <v>913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26"/>
      <c r="O20" s="253" t="s">
        <v>914</v>
      </c>
      <c r="P20" s="253" t="s">
        <v>915</v>
      </c>
      <c r="Q20" s="253" t="s">
        <v>916</v>
      </c>
      <c r="R20" s="253" t="s">
        <v>917</v>
      </c>
      <c r="S20" s="253" t="s">
        <v>918</v>
      </c>
    </row>
    <row r="21" spans="2:19" ht="16" customHeight="1">
      <c r="B21" s="151"/>
      <c r="C21" s="200" t="s">
        <v>899</v>
      </c>
      <c r="D21" s="200" t="s">
        <v>331</v>
      </c>
      <c r="E21" s="200" t="s">
        <v>332</v>
      </c>
      <c r="F21" s="200" t="s">
        <v>333</v>
      </c>
      <c r="G21" s="200" t="s">
        <v>794</v>
      </c>
      <c r="H21" s="200" t="s">
        <v>334</v>
      </c>
      <c r="I21" s="200" t="s">
        <v>795</v>
      </c>
      <c r="J21" s="200" t="s">
        <v>335</v>
      </c>
      <c r="K21" s="200" t="s">
        <v>796</v>
      </c>
      <c r="L21" s="200" t="s">
        <v>552</v>
      </c>
      <c r="M21" s="200" t="s">
        <v>336</v>
      </c>
      <c r="O21" s="255" t="s">
        <v>919</v>
      </c>
      <c r="P21" s="256">
        <v>0.11199999999999999</v>
      </c>
      <c r="Q21" s="257">
        <v>0.13500000000000001</v>
      </c>
      <c r="R21" s="258">
        <v>0.158</v>
      </c>
      <c r="S21" s="260">
        <v>0.18100000000000002</v>
      </c>
    </row>
    <row r="22" spans="2:19" ht="16" customHeight="1">
      <c r="B22" s="132" t="s">
        <v>347</v>
      </c>
      <c r="C22" s="219">
        <v>0</v>
      </c>
      <c r="D22" s="219">
        <v>2.93</v>
      </c>
      <c r="E22" s="219">
        <v>3.53</v>
      </c>
      <c r="F22" s="219">
        <v>4.05</v>
      </c>
      <c r="G22" s="219">
        <v>5.1100000000000003</v>
      </c>
      <c r="H22" s="219">
        <v>6.07</v>
      </c>
      <c r="I22" s="219">
        <v>6.44</v>
      </c>
      <c r="J22" s="219">
        <v>6.88</v>
      </c>
      <c r="K22" s="219">
        <v>7.22</v>
      </c>
      <c r="L22" s="219">
        <v>7.68</v>
      </c>
      <c r="M22" s="219">
        <v>8.2100000000000009</v>
      </c>
      <c r="O22" s="255" t="s">
        <v>441</v>
      </c>
      <c r="P22" s="257">
        <v>0.13100000000000001</v>
      </c>
      <c r="Q22" s="258">
        <v>0.153</v>
      </c>
      <c r="R22" s="258">
        <v>0.17600000000000002</v>
      </c>
      <c r="S22" s="260">
        <v>0.19899999999999998</v>
      </c>
    </row>
    <row r="23" spans="2:19" ht="16" customHeight="1">
      <c r="B23" s="132" t="s">
        <v>901</v>
      </c>
      <c r="C23" s="248">
        <v>0</v>
      </c>
      <c r="D23" s="248">
        <v>0</v>
      </c>
      <c r="E23" s="248">
        <v>0</v>
      </c>
      <c r="F23" s="248">
        <v>0</v>
      </c>
      <c r="G23" s="248">
        <v>0</v>
      </c>
      <c r="H23" s="248">
        <v>0</v>
      </c>
      <c r="I23" s="248">
        <v>0</v>
      </c>
      <c r="J23" s="248">
        <v>0</v>
      </c>
      <c r="K23" s="248">
        <v>0</v>
      </c>
      <c r="L23" s="248">
        <v>0</v>
      </c>
      <c r="M23" s="248">
        <v>0</v>
      </c>
      <c r="O23" s="255" t="s">
        <v>920</v>
      </c>
      <c r="P23" s="257">
        <v>0.14800000000000002</v>
      </c>
      <c r="Q23" s="259">
        <v>0.17800000000000002</v>
      </c>
      <c r="R23" s="260">
        <v>0.20100000000000001</v>
      </c>
      <c r="S23" s="260">
        <v>0.22500000000000001</v>
      </c>
    </row>
    <row r="24" spans="2:19" ht="16" customHeight="1">
      <c r="B24" s="132" t="s">
        <v>893</v>
      </c>
      <c r="C24" s="219">
        <v>0</v>
      </c>
      <c r="D24" s="219">
        <v>0</v>
      </c>
      <c r="E24" s="219">
        <v>0</v>
      </c>
      <c r="F24" s="219">
        <v>0</v>
      </c>
      <c r="G24" s="219">
        <v>-7.3</v>
      </c>
      <c r="H24" s="219">
        <v>0</v>
      </c>
      <c r="I24" s="219">
        <v>0</v>
      </c>
      <c r="J24" s="219">
        <v>0</v>
      </c>
      <c r="K24" s="219">
        <v>0</v>
      </c>
      <c r="L24" s="219">
        <v>0</v>
      </c>
      <c r="M24" s="219">
        <v>0</v>
      </c>
      <c r="O24" s="255" t="s">
        <v>435</v>
      </c>
      <c r="P24" s="258">
        <v>0.16200000000000001</v>
      </c>
      <c r="Q24" s="260">
        <v>0.192</v>
      </c>
      <c r="R24" s="260">
        <v>0.218</v>
      </c>
      <c r="S24" s="260">
        <v>0.24199999999999999</v>
      </c>
    </row>
    <row r="25" spans="2:19" ht="16" customHeight="1">
      <c r="B25" s="132" t="s">
        <v>921</v>
      </c>
      <c r="C25" s="219">
        <v>0</v>
      </c>
      <c r="D25" s="219">
        <v>0</v>
      </c>
      <c r="E25" s="219">
        <v>0</v>
      </c>
      <c r="F25" s="219">
        <v>0</v>
      </c>
      <c r="G25" s="219">
        <v>0</v>
      </c>
      <c r="H25" s="219">
        <v>0</v>
      </c>
      <c r="I25" s="219">
        <v>0</v>
      </c>
      <c r="J25" s="219">
        <v>0</v>
      </c>
      <c r="K25" s="219">
        <v>0</v>
      </c>
      <c r="L25" s="219">
        <v>0</v>
      </c>
      <c r="M25" s="219">
        <v>86.2</v>
      </c>
      <c r="O25" s="255" t="s">
        <v>440</v>
      </c>
      <c r="P25" s="258">
        <v>0.17800000000000002</v>
      </c>
      <c r="Q25" s="260">
        <v>0.21199999999999999</v>
      </c>
      <c r="R25" s="260">
        <v>0.23800000000000002</v>
      </c>
      <c r="S25" s="260">
        <v>0.26800000000000002</v>
      </c>
    </row>
    <row r="26" spans="2:19" ht="16" customHeight="1">
      <c r="B26" s="149" t="s">
        <v>905</v>
      </c>
      <c r="C26" s="254">
        <v>-35.700000000000003</v>
      </c>
      <c r="D26" s="254">
        <f t="shared" ref="D26:M26" si="5">D22-D23+D24+D25</f>
        <v>2.93</v>
      </c>
      <c r="E26" s="254">
        <f t="shared" si="5"/>
        <v>3.53</v>
      </c>
      <c r="F26" s="254">
        <f t="shared" si="5"/>
        <v>4.05</v>
      </c>
      <c r="G26" s="254">
        <f t="shared" si="5"/>
        <v>-2.1899999999999995</v>
      </c>
      <c r="H26" s="254">
        <f t="shared" si="5"/>
        <v>6.07</v>
      </c>
      <c r="I26" s="254">
        <f t="shared" si="5"/>
        <v>6.44</v>
      </c>
      <c r="J26" s="254">
        <f t="shared" si="5"/>
        <v>6.88</v>
      </c>
      <c r="K26" s="254">
        <f t="shared" si="5"/>
        <v>7.22</v>
      </c>
      <c r="L26" s="254">
        <f t="shared" si="5"/>
        <v>7.68</v>
      </c>
      <c r="M26" s="254">
        <f t="shared" si="5"/>
        <v>94.41</v>
      </c>
    </row>
    <row r="27" spans="2:19" ht="16" customHeight="1">
      <c r="B27" s="132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</row>
    <row r="28" spans="2:19" ht="16" customHeight="1">
      <c r="B28" s="151" t="s">
        <v>906</v>
      </c>
      <c r="C28" s="152"/>
      <c r="D28" s="152"/>
      <c r="E28" s="126"/>
      <c r="F28" s="126"/>
      <c r="G28" s="126"/>
      <c r="H28" s="126"/>
      <c r="I28" s="126"/>
      <c r="J28" s="126"/>
      <c r="K28" s="126"/>
      <c r="L28" s="126"/>
      <c r="M28" s="126"/>
    </row>
    <row r="29" spans="2:19" ht="16" customHeight="1">
      <c r="B29" s="132" t="s">
        <v>378</v>
      </c>
      <c r="C29" s="201">
        <f t="shared" si="1"/>
        <v>0.17797788121405933</v>
      </c>
      <c r="D29" s="261" t="s">
        <v>922</v>
      </c>
      <c r="E29" s="126"/>
      <c r="F29" s="126"/>
      <c r="G29" s="126"/>
      <c r="H29" s="126"/>
      <c r="I29" s="126"/>
      <c r="J29" s="126"/>
      <c r="K29" s="126"/>
      <c r="L29" s="126"/>
      <c r="M29" s="126"/>
    </row>
    <row r="30" spans="2:19" ht="16" customHeight="1">
      <c r="B30" s="132" t="s">
        <v>42</v>
      </c>
      <c r="C30" s="262">
        <f t="shared" si="2"/>
        <v>0.68732817791676837</v>
      </c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O30" s="253" t="s">
        <v>923</v>
      </c>
      <c r="P30" s="253" t="s">
        <v>917</v>
      </c>
      <c r="Q30" s="253" t="s">
        <v>437</v>
      </c>
      <c r="R30" s="253" t="s">
        <v>915</v>
      </c>
      <c r="S30" s="253" t="s">
        <v>924</v>
      </c>
    </row>
    <row r="31" spans="2:19" ht="16" customHeight="1">
      <c r="B31" s="132" t="s">
        <v>49</v>
      </c>
      <c r="C31" s="263">
        <f t="shared" si="3"/>
        <v>3.8380952380952373</v>
      </c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O31" s="255" t="s">
        <v>915</v>
      </c>
      <c r="P31" s="257">
        <v>9.8000000000000007</v>
      </c>
      <c r="Q31" s="257">
        <v>8.9</v>
      </c>
      <c r="R31" s="257">
        <v>8.1</v>
      </c>
      <c r="S31" s="258">
        <v>7.5</v>
      </c>
    </row>
    <row r="32" spans="2:19" ht="16" customHeight="1">
      <c r="B32" t="s">
        <v>909</v>
      </c>
      <c r="C32" s="264">
        <v>9.1999999999999993</v>
      </c>
      <c r="D32" t="s">
        <v>925</v>
      </c>
    </row>
    <row r="33" spans="2:19" ht="16" customHeight="1">
      <c r="B33" s="132" t="s">
        <v>926</v>
      </c>
      <c r="C33" s="265">
        <f t="shared" si="4"/>
        <v>86.2</v>
      </c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O33" s="255" t="s">
        <v>927</v>
      </c>
      <c r="P33" s="257">
        <v>8.6</v>
      </c>
      <c r="Q33" s="259">
        <v>7.8</v>
      </c>
      <c r="R33" s="258">
        <v>7.1</v>
      </c>
      <c r="S33" s="258">
        <v>6.5</v>
      </c>
    </row>
    <row r="34" spans="2:19" ht="16" customHeight="1">
      <c r="B34" s="132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O34" s="255" t="s">
        <v>917</v>
      </c>
      <c r="P34" s="258">
        <v>7.5</v>
      </c>
      <c r="Q34" s="258">
        <v>6.8</v>
      </c>
      <c r="R34" s="258">
        <v>6.2</v>
      </c>
      <c r="S34" s="260">
        <v>5.7</v>
      </c>
    </row>
    <row r="35" spans="2:19" ht="32.25" customHeight="1">
      <c r="B35" s="147" t="s">
        <v>928</v>
      </c>
      <c r="C35" s="235"/>
      <c r="D35" s="235"/>
      <c r="E35" s="126"/>
      <c r="F35" s="126"/>
      <c r="G35" s="126"/>
      <c r="H35" s="126"/>
      <c r="I35" s="126"/>
      <c r="J35" s="126"/>
      <c r="K35" s="126"/>
      <c r="L35" s="126"/>
      <c r="M35" s="126"/>
      <c r="O35" s="255" t="s">
        <v>918</v>
      </c>
      <c r="P35" s="258">
        <v>6.5</v>
      </c>
      <c r="Q35" s="260">
        <v>5.9</v>
      </c>
      <c r="R35" s="260">
        <v>5.4</v>
      </c>
      <c r="S35" s="260">
        <v>5</v>
      </c>
    </row>
    <row r="36" spans="2:19" ht="16" customHeight="1">
      <c r="B36" s="132" t="s">
        <v>929</v>
      </c>
      <c r="C36" s="266">
        <v>8.2100000000000009</v>
      </c>
      <c r="D36" s="126"/>
      <c r="E36" s="126"/>
      <c r="F36" s="126"/>
      <c r="G36" s="126"/>
      <c r="H36" s="126"/>
      <c r="I36" s="126"/>
      <c r="J36" s="126"/>
      <c r="K36" s="126"/>
      <c r="L36" s="126"/>
      <c r="M36" s="126"/>
    </row>
    <row r="37" spans="2:19" ht="16" customHeight="1">
      <c r="B37" s="132" t="s">
        <v>930</v>
      </c>
      <c r="C37" s="181">
        <v>0.04</v>
      </c>
      <c r="D37" s="126"/>
      <c r="E37" s="126"/>
      <c r="F37" s="126"/>
      <c r="G37" s="126"/>
      <c r="H37" s="126"/>
      <c r="I37" s="126"/>
      <c r="J37" s="126"/>
      <c r="K37" s="126"/>
      <c r="L37" s="126"/>
      <c r="M37" s="126"/>
    </row>
    <row r="38" spans="2:19" ht="16" customHeight="1">
      <c r="B38" s="132" t="s">
        <v>931</v>
      </c>
      <c r="C38" s="180">
        <v>0.17499999999999999</v>
      </c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2:19" ht="16" customHeight="1">
      <c r="B39" s="132" t="s">
        <v>932</v>
      </c>
      <c r="C39" s="267">
        <f>C36*(1+C37)/(C38-C37)</f>
        <v>63.247407407407422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</row>
    <row r="40" spans="2:19" ht="17.25" customHeight="1">
      <c r="B40" s="132" t="s">
        <v>933</v>
      </c>
      <c r="C40" s="265">
        <f>C39/(1+C38)^10</f>
        <v>12.608518553553857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O40" s="601" t="s">
        <v>934</v>
      </c>
      <c r="P40" s="540"/>
      <c r="Q40" s="540"/>
      <c r="R40" s="540"/>
      <c r="S40" s="540"/>
    </row>
    <row r="41" spans="2:19" ht="16" customHeight="1">
      <c r="B41" s="132" t="s">
        <v>935</v>
      </c>
      <c r="C41" s="268">
        <f>C39/C36</f>
        <v>7.7037037037037051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</row>
    <row r="42" spans="2:19" ht="16" customHeight="1">
      <c r="B42" s="132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O42" s="269" t="s">
        <v>936</v>
      </c>
      <c r="P42" s="621" t="s">
        <v>282</v>
      </c>
      <c r="Q42" s="540"/>
      <c r="R42" s="540"/>
      <c r="S42" s="540"/>
    </row>
    <row r="43" spans="2:19" ht="21.75" customHeight="1">
      <c r="B43" s="603" t="s">
        <v>937</v>
      </c>
      <c r="C43" s="604"/>
      <c r="D43" s="604"/>
      <c r="E43" s="605"/>
      <c r="F43" s="129"/>
      <c r="G43" s="129"/>
      <c r="H43" s="129"/>
      <c r="I43" s="129"/>
      <c r="J43" s="129"/>
      <c r="K43" s="126"/>
      <c r="L43" s="126"/>
      <c r="M43" s="126"/>
      <c r="O43" s="270" t="s">
        <v>36</v>
      </c>
      <c r="P43" s="618" t="s">
        <v>938</v>
      </c>
      <c r="Q43" s="540"/>
      <c r="R43" s="540"/>
      <c r="S43" s="540"/>
    </row>
    <row r="44" spans="2:19" ht="16" customHeight="1">
      <c r="B44" s="606" t="s">
        <v>939</v>
      </c>
      <c r="C44" s="607" t="s">
        <v>940</v>
      </c>
      <c r="D44" s="608">
        <v>3500</v>
      </c>
      <c r="E44" s="609">
        <v>4000</v>
      </c>
      <c r="F44" s="271">
        <v>4500</v>
      </c>
      <c r="G44" s="271">
        <v>5000</v>
      </c>
      <c r="H44" s="271">
        <v>5500</v>
      </c>
      <c r="I44" s="271">
        <v>6000</v>
      </c>
      <c r="J44" s="272">
        <v>6500</v>
      </c>
      <c r="K44" s="126"/>
      <c r="L44" s="126"/>
      <c r="M44" s="126"/>
      <c r="O44" s="273" t="s">
        <v>825</v>
      </c>
      <c r="P44" s="619">
        <v>55</v>
      </c>
      <c r="Q44" s="540"/>
      <c r="R44" s="540"/>
      <c r="S44" s="540"/>
    </row>
    <row r="45" spans="2:19" ht="16" customHeight="1">
      <c r="B45" s="274" t="s">
        <v>941</v>
      </c>
      <c r="C45" s="275">
        <v>0.6</v>
      </c>
      <c r="D45" s="276">
        <v>3.1E-2</v>
      </c>
      <c r="E45" s="277">
        <v>4.4999999999999998E-2</v>
      </c>
      <c r="F45" s="276">
        <v>5.8000000000000003E-2</v>
      </c>
      <c r="G45" s="276">
        <v>6.9000000000000006E-2</v>
      </c>
      <c r="H45" s="276">
        <v>7.9000000000000001E-2</v>
      </c>
      <c r="I45" s="276">
        <v>8.8999999999999996E-2</v>
      </c>
      <c r="J45" s="278">
        <v>9.7000000000000003E-2</v>
      </c>
      <c r="K45" s="126"/>
      <c r="L45" s="126"/>
      <c r="M45" s="126"/>
      <c r="O45" s="270" t="s">
        <v>831</v>
      </c>
      <c r="P45" s="618" t="s">
        <v>942</v>
      </c>
      <c r="Q45" s="540"/>
      <c r="R45" s="540"/>
      <c r="S45" s="540"/>
    </row>
    <row r="46" spans="2:19" ht="16" customHeight="1">
      <c r="B46" s="279" t="s">
        <v>943</v>
      </c>
      <c r="C46" s="280" t="s">
        <v>19</v>
      </c>
      <c r="D46" s="280" t="s">
        <v>944</v>
      </c>
      <c r="E46" s="277">
        <v>5.3999999999999999E-2</v>
      </c>
      <c r="F46" s="276">
        <v>6.6000000000000003E-2</v>
      </c>
      <c r="G46" s="276">
        <v>7.6999999999999999E-2</v>
      </c>
      <c r="H46" s="276">
        <v>8.7999999999999995E-2</v>
      </c>
      <c r="I46" s="276">
        <v>9.7000000000000003E-2</v>
      </c>
      <c r="J46" s="281">
        <v>0.106</v>
      </c>
      <c r="K46" s="126"/>
      <c r="L46" s="126"/>
      <c r="M46" s="126"/>
      <c r="O46" s="273" t="s">
        <v>525</v>
      </c>
      <c r="P46" s="619" t="s">
        <v>945</v>
      </c>
      <c r="Q46" s="540"/>
      <c r="R46" s="540"/>
      <c r="S46" s="540"/>
    </row>
    <row r="47" spans="2:19" ht="16" customHeight="1">
      <c r="B47" s="282" t="s">
        <v>946</v>
      </c>
      <c r="C47" s="283" t="s">
        <v>947</v>
      </c>
      <c r="D47" s="283" t="s">
        <v>948</v>
      </c>
      <c r="E47" s="277">
        <v>6.2E-2</v>
      </c>
      <c r="F47" s="276">
        <v>7.3999999999999996E-2</v>
      </c>
      <c r="G47" s="276">
        <v>8.5999999999999993E-2</v>
      </c>
      <c r="H47" s="276">
        <v>9.6000000000000002E-2</v>
      </c>
      <c r="I47" s="284">
        <v>0.105</v>
      </c>
      <c r="J47" s="281">
        <v>0.114</v>
      </c>
      <c r="K47" s="126"/>
      <c r="L47" s="126"/>
      <c r="M47" s="126"/>
      <c r="O47" s="270" t="s">
        <v>949</v>
      </c>
      <c r="P47" s="618" t="s">
        <v>362</v>
      </c>
      <c r="Q47" s="540"/>
      <c r="R47" s="540"/>
      <c r="S47" s="540"/>
    </row>
    <row r="48" spans="2:19" ht="16" customHeight="1">
      <c r="B48" s="285" t="s">
        <v>23</v>
      </c>
      <c r="C48" s="286" t="s">
        <v>950</v>
      </c>
      <c r="D48" s="286" t="s">
        <v>951</v>
      </c>
      <c r="E48" s="277">
        <v>6.9000000000000006E-2</v>
      </c>
      <c r="F48" s="276">
        <v>8.2000000000000003E-2</v>
      </c>
      <c r="G48" s="276">
        <v>9.2999999999999999E-2</v>
      </c>
      <c r="H48" s="284">
        <v>0.10299999999999999</v>
      </c>
      <c r="I48" s="284">
        <v>0.113</v>
      </c>
      <c r="J48" s="287">
        <v>0.122</v>
      </c>
      <c r="K48" s="126"/>
      <c r="L48" s="126"/>
      <c r="M48" s="126"/>
      <c r="O48" s="273" t="s">
        <v>314</v>
      </c>
      <c r="P48" s="619" t="s">
        <v>222</v>
      </c>
      <c r="Q48" s="540"/>
      <c r="R48" s="540"/>
      <c r="S48" s="540"/>
    </row>
    <row r="49" spans="2:19" ht="16" customHeight="1">
      <c r="B49" s="282" t="s">
        <v>952</v>
      </c>
      <c r="C49" s="283" t="s">
        <v>953</v>
      </c>
      <c r="D49" s="283" t="s">
        <v>954</v>
      </c>
      <c r="E49" s="277">
        <v>7.2999999999999995E-2</v>
      </c>
      <c r="F49" s="276">
        <v>8.5999999999999993E-2</v>
      </c>
      <c r="G49" s="288">
        <v>9.7000000000000003E-2</v>
      </c>
      <c r="H49" s="284">
        <v>0.108</v>
      </c>
      <c r="I49" s="284">
        <v>0.11799999999999999</v>
      </c>
      <c r="J49" s="287">
        <v>0.126</v>
      </c>
      <c r="K49" s="126"/>
      <c r="L49" s="126"/>
      <c r="M49" s="126"/>
      <c r="O49" s="270" t="s">
        <v>955</v>
      </c>
      <c r="P49" s="618" t="s">
        <v>956</v>
      </c>
      <c r="Q49" s="540"/>
      <c r="R49" s="540"/>
      <c r="S49" s="540"/>
    </row>
    <row r="50" spans="2:19" ht="16" customHeight="1">
      <c r="B50" s="285" t="s">
        <v>957</v>
      </c>
      <c r="C50" s="286" t="s">
        <v>958</v>
      </c>
      <c r="D50" s="286" t="s">
        <v>959</v>
      </c>
      <c r="E50" s="277">
        <v>7.5999999999999998E-2</v>
      </c>
      <c r="F50" s="276">
        <v>8.8999999999999996E-2</v>
      </c>
      <c r="G50" s="284">
        <v>0.1</v>
      </c>
      <c r="H50" s="284">
        <v>0.111</v>
      </c>
      <c r="I50" s="289">
        <v>0.12</v>
      </c>
      <c r="J50" s="287">
        <v>0.129</v>
      </c>
      <c r="K50" s="126"/>
      <c r="L50" s="126"/>
      <c r="M50" s="126"/>
      <c r="O50" s="273" t="s">
        <v>20</v>
      </c>
      <c r="P50" s="619" t="s">
        <v>424</v>
      </c>
      <c r="Q50" s="540"/>
      <c r="R50" s="540"/>
      <c r="S50" s="540"/>
    </row>
    <row r="51" spans="2:19" ht="16" customHeight="1">
      <c r="B51" s="274"/>
      <c r="C51" s="290">
        <v>0.85</v>
      </c>
      <c r="D51" s="291">
        <v>6.8000000000000005E-2</v>
      </c>
      <c r="E51" s="292">
        <v>8.2000000000000003E-2</v>
      </c>
      <c r="F51" s="291">
        <v>9.5000000000000001E-2</v>
      </c>
      <c r="G51" s="293">
        <v>0.107</v>
      </c>
      <c r="H51" s="293">
        <v>0.11700000000000001</v>
      </c>
      <c r="I51" s="294">
        <v>0.127</v>
      </c>
      <c r="J51" s="295">
        <v>0.13600000000000001</v>
      </c>
      <c r="K51" s="126"/>
      <c r="L51" s="126"/>
      <c r="M51" s="126"/>
      <c r="O51" s="270" t="s">
        <v>960</v>
      </c>
      <c r="P51" s="618" t="s">
        <v>961</v>
      </c>
      <c r="Q51" s="540"/>
      <c r="R51" s="540"/>
      <c r="S51" s="540"/>
    </row>
    <row r="52" spans="2:19" ht="19.5" customHeight="1">
      <c r="B52" s="610" t="s">
        <v>962</v>
      </c>
      <c r="C52" s="590"/>
      <c r="D52" s="590"/>
      <c r="E52" s="611"/>
      <c r="F52" s="126"/>
      <c r="G52" s="126"/>
      <c r="H52" s="126"/>
      <c r="I52" s="126"/>
      <c r="J52" s="126"/>
      <c r="K52" s="126"/>
      <c r="L52" s="126"/>
      <c r="M52" s="126"/>
      <c r="O52" s="273" t="s">
        <v>963</v>
      </c>
      <c r="P52" s="619" t="s">
        <v>964</v>
      </c>
      <c r="Q52" s="540"/>
      <c r="R52" s="540"/>
      <c r="S52" s="540"/>
    </row>
    <row r="53" spans="2:19" ht="16" customHeight="1">
      <c r="B53" s="282" t="s">
        <v>965</v>
      </c>
      <c r="C53" s="283" t="s">
        <v>966</v>
      </c>
      <c r="D53" s="283" t="s">
        <v>967</v>
      </c>
      <c r="E53" s="297"/>
      <c r="F53" s="225"/>
      <c r="G53" s="225"/>
      <c r="H53" s="126"/>
      <c r="I53" s="126"/>
      <c r="J53" s="126"/>
      <c r="K53" s="126"/>
      <c r="L53" s="126"/>
      <c r="M53" s="126"/>
    </row>
    <row r="54" spans="2:19" ht="16" customHeight="1">
      <c r="B54" s="285" t="s">
        <v>968</v>
      </c>
      <c r="C54" s="286" t="s">
        <v>969</v>
      </c>
      <c r="D54" s="286" t="s">
        <v>970</v>
      </c>
      <c r="E54" s="298" t="s">
        <v>513</v>
      </c>
      <c r="F54" s="142" t="s">
        <v>210</v>
      </c>
      <c r="G54" s="126"/>
      <c r="H54" s="126"/>
      <c r="I54" s="126"/>
      <c r="J54" s="126"/>
      <c r="K54" s="126"/>
      <c r="L54" s="126"/>
      <c r="M54" s="126"/>
    </row>
    <row r="55" spans="2:19" ht="16" customHeight="1">
      <c r="B55" s="282" t="s">
        <v>971</v>
      </c>
      <c r="C55" s="283" t="s">
        <v>972</v>
      </c>
      <c r="D55" s="283" t="s">
        <v>973</v>
      </c>
      <c r="E55" s="299">
        <f t="shared" ref="E55:E57" si="6">C29</f>
        <v>0.17797788121405933</v>
      </c>
      <c r="F55" s="261" t="str">
        <f>IF(C13&gt;0.12,"✓ PASS","✗ FAIL")</f>
        <v>✓ PASS</v>
      </c>
      <c r="G55" s="126"/>
      <c r="H55" s="126"/>
      <c r="I55" s="126"/>
      <c r="J55" s="126"/>
      <c r="K55" s="126"/>
      <c r="L55" s="126"/>
      <c r="M55" s="126"/>
    </row>
    <row r="56" spans="2:19" ht="16" customHeight="1">
      <c r="B56" s="285" t="s">
        <v>45</v>
      </c>
      <c r="C56" s="286" t="s">
        <v>974</v>
      </c>
      <c r="D56" s="286" t="s">
        <v>975</v>
      </c>
      <c r="E56" s="296" t="s">
        <v>292</v>
      </c>
      <c r="F56" s="261" t="s">
        <v>574</v>
      </c>
      <c r="G56" s="126"/>
      <c r="H56" s="126"/>
      <c r="I56" s="126"/>
      <c r="J56" s="126"/>
      <c r="K56" s="126"/>
      <c r="L56" s="126"/>
      <c r="M56" s="126"/>
    </row>
    <row r="57" spans="2:19" ht="16" customHeight="1">
      <c r="B57" s="274" t="s">
        <v>49</v>
      </c>
      <c r="C57" s="126" t="s">
        <v>976</v>
      </c>
      <c r="D57" s="176">
        <f>C15</f>
        <v>3.6198879551820728</v>
      </c>
      <c r="E57" s="300">
        <f t="shared" si="6"/>
        <v>3.8380952380952373</v>
      </c>
      <c r="F57" s="261" t="str">
        <f>IF(C15&gt;2,"✓ PASS","✗ FAIL")</f>
        <v>✓ PASS</v>
      </c>
      <c r="G57" s="126"/>
      <c r="H57" s="126"/>
      <c r="I57" s="126"/>
      <c r="J57" s="126"/>
      <c r="K57" s="126"/>
      <c r="L57" s="126"/>
      <c r="M57" s="126"/>
    </row>
    <row r="58" spans="2:19" ht="19.5" customHeight="1">
      <c r="B58" s="612" t="s">
        <v>977</v>
      </c>
      <c r="C58" s="590" t="s">
        <v>978</v>
      </c>
      <c r="D58" s="613">
        <f>C14</f>
        <v>0.22650427136776585</v>
      </c>
      <c r="E58" s="614">
        <f>C30</f>
        <v>0.68732817791676837</v>
      </c>
      <c r="F58" s="261" t="str">
        <f>IF(C14&gt;0,"✓ PASS","✗ FAIL")</f>
        <v>✓ PASS</v>
      </c>
      <c r="G58" s="126"/>
      <c r="H58" s="126"/>
      <c r="I58" s="126"/>
      <c r="J58" s="126"/>
      <c r="K58" s="126"/>
      <c r="L58" s="126"/>
      <c r="M58" s="126"/>
    </row>
    <row r="59" spans="2:19" ht="45" customHeight="1">
      <c r="B59" s="615" t="s">
        <v>979</v>
      </c>
      <c r="C59" s="616"/>
      <c r="D59" s="616"/>
      <c r="E59" s="617"/>
      <c r="F59" s="126"/>
      <c r="G59" s="126"/>
      <c r="H59" s="126"/>
      <c r="I59" s="126"/>
      <c r="J59" s="126"/>
      <c r="K59" s="126"/>
      <c r="L59" s="126"/>
      <c r="M59" s="126"/>
    </row>
    <row r="60" spans="2:19" ht="16" customHeight="1">
      <c r="B60" s="222" t="s">
        <v>493</v>
      </c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</row>
    <row r="61" spans="2:19" ht="16" customHeight="1">
      <c r="B61" s="223" t="s">
        <v>494</v>
      </c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</row>
    <row r="62" spans="2:19" ht="17.25" customHeight="1">
      <c r="B62" s="601" t="s">
        <v>980</v>
      </c>
      <c r="C62" s="540"/>
      <c r="D62" s="540"/>
      <c r="E62" s="540"/>
      <c r="F62" s="540"/>
      <c r="G62" s="540"/>
    </row>
    <row r="64" spans="2:19" ht="16" customHeight="1">
      <c r="B64" s="301" t="s">
        <v>981</v>
      </c>
      <c r="C64" s="302" t="s">
        <v>982</v>
      </c>
      <c r="D64" s="302" t="s">
        <v>513</v>
      </c>
      <c r="E64" s="301" t="s">
        <v>502</v>
      </c>
    </row>
    <row r="65" spans="2:6" ht="16" customHeight="1">
      <c r="B65" s="270" t="s">
        <v>983</v>
      </c>
      <c r="C65" s="303" t="s">
        <v>984</v>
      </c>
      <c r="D65" s="303" t="s">
        <v>985</v>
      </c>
      <c r="E65" s="304" t="s">
        <v>986</v>
      </c>
    </row>
    <row r="66" spans="2:6" ht="16" customHeight="1">
      <c r="B66" s="273" t="s">
        <v>987</v>
      </c>
      <c r="C66" s="305" t="s">
        <v>988</v>
      </c>
      <c r="D66" s="305" t="s">
        <v>989</v>
      </c>
      <c r="E66" s="306" t="s">
        <v>986</v>
      </c>
    </row>
    <row r="67" spans="2:6" ht="16" customHeight="1">
      <c r="B67" s="270" t="s">
        <v>990</v>
      </c>
      <c r="C67" s="303" t="s">
        <v>991</v>
      </c>
      <c r="D67" s="303" t="s">
        <v>992</v>
      </c>
      <c r="E67" s="304" t="s">
        <v>993</v>
      </c>
    </row>
    <row r="68" spans="2:6" ht="16" customHeight="1">
      <c r="B68" s="273" t="s">
        <v>994</v>
      </c>
      <c r="C68" s="305" t="s">
        <v>995</v>
      </c>
      <c r="D68" s="305" t="s">
        <v>996</v>
      </c>
      <c r="E68" s="306" t="s">
        <v>997</v>
      </c>
    </row>
    <row r="69" spans="2:6" ht="16" customHeight="1">
      <c r="B69" s="270" t="s">
        <v>998</v>
      </c>
      <c r="C69" s="303" t="s">
        <v>999</v>
      </c>
      <c r="D69" s="303" t="s">
        <v>1000</v>
      </c>
      <c r="E69" s="304" t="s">
        <v>997</v>
      </c>
    </row>
    <row r="70" spans="2:6" ht="16" customHeight="1">
      <c r="B70" s="273" t="s">
        <v>1001</v>
      </c>
      <c r="C70" s="305" t="s">
        <v>1002</v>
      </c>
      <c r="D70" s="305" t="s">
        <v>1003</v>
      </c>
      <c r="E70" s="306" t="s">
        <v>1004</v>
      </c>
    </row>
    <row r="71" spans="2:6" ht="16" customHeight="1">
      <c r="B71" s="270" t="s">
        <v>1005</v>
      </c>
      <c r="C71" s="303" t="s">
        <v>1006</v>
      </c>
      <c r="D71" s="303" t="s">
        <v>1007</v>
      </c>
      <c r="E71" s="304" t="s">
        <v>1008</v>
      </c>
    </row>
    <row r="77" spans="2:6" ht="17.25" customHeight="1">
      <c r="B77" s="601" t="s">
        <v>1009</v>
      </c>
      <c r="C77" s="540"/>
      <c r="D77" s="540"/>
      <c r="E77" s="540"/>
      <c r="F77" s="540"/>
    </row>
    <row r="79" spans="2:6" ht="16" customHeight="1">
      <c r="B79" s="302" t="s">
        <v>1010</v>
      </c>
      <c r="C79" s="307" t="s">
        <v>1011</v>
      </c>
      <c r="D79" s="307" t="s">
        <v>1012</v>
      </c>
      <c r="E79" s="307" t="s">
        <v>1013</v>
      </c>
    </row>
    <row r="80" spans="2:6" ht="16" customHeight="1">
      <c r="B80" s="308" t="s">
        <v>1014</v>
      </c>
      <c r="C80" s="303">
        <v>28.5</v>
      </c>
      <c r="D80" s="303">
        <v>32.1</v>
      </c>
      <c r="E80" s="303">
        <v>3.6</v>
      </c>
    </row>
    <row r="81" spans="2:8" ht="16" customHeight="1">
      <c r="B81" s="309" t="s">
        <v>1015</v>
      </c>
      <c r="C81" s="305">
        <v>21.2</v>
      </c>
      <c r="D81" s="305">
        <v>23.8</v>
      </c>
      <c r="E81" s="305">
        <v>2.6</v>
      </c>
    </row>
    <row r="82" spans="2:8" ht="16" customHeight="1">
      <c r="B82" s="310" t="s">
        <v>424</v>
      </c>
      <c r="C82" s="311">
        <v>15.6</v>
      </c>
      <c r="D82" s="311">
        <v>17.100000000000001</v>
      </c>
      <c r="E82" s="311">
        <v>1.5</v>
      </c>
    </row>
    <row r="83" spans="2:8" ht="16" customHeight="1">
      <c r="B83" s="309" t="s">
        <v>1016</v>
      </c>
      <c r="C83" s="305">
        <v>11.2</v>
      </c>
      <c r="D83" s="305">
        <v>12.1</v>
      </c>
      <c r="E83" s="305">
        <v>0.9</v>
      </c>
    </row>
    <row r="84" spans="2:8" ht="16" customHeight="1">
      <c r="B84" s="308" t="s">
        <v>1017</v>
      </c>
      <c r="C84" s="303">
        <v>7.8</v>
      </c>
      <c r="D84" s="303">
        <v>8.3000000000000007</v>
      </c>
      <c r="E84" s="303">
        <v>0.5</v>
      </c>
    </row>
    <row r="85" spans="2:8" ht="16" customHeight="1">
      <c r="B85" s="312" t="s">
        <v>1018</v>
      </c>
      <c r="C85" s="313">
        <v>5</v>
      </c>
      <c r="D85" s="313">
        <v>5.2</v>
      </c>
      <c r="E85" s="313">
        <v>0.2</v>
      </c>
    </row>
    <row r="86" spans="2:8" ht="16" customHeight="1">
      <c r="B86" s="308" t="s">
        <v>1019</v>
      </c>
      <c r="C86" s="303">
        <v>4.9000000000000004</v>
      </c>
      <c r="D86" s="303">
        <v>5</v>
      </c>
      <c r="E86" s="303">
        <v>0.1</v>
      </c>
    </row>
    <row r="87" spans="2:8" ht="16" customHeight="1">
      <c r="B87" s="309" t="s">
        <v>113</v>
      </c>
      <c r="C87" s="305">
        <v>2.5</v>
      </c>
      <c r="D87" s="305">
        <v>2.2999999999999998</v>
      </c>
      <c r="E87" s="305">
        <v>-0.2</v>
      </c>
    </row>
    <row r="92" spans="2:8" ht="17.25" customHeight="1">
      <c r="B92" s="601" t="s">
        <v>1020</v>
      </c>
      <c r="C92" s="540"/>
      <c r="D92" s="540"/>
      <c r="E92" s="540"/>
      <c r="F92" s="540"/>
      <c r="G92" s="540"/>
      <c r="H92" s="540"/>
    </row>
    <row r="94" spans="2:8" ht="16" customHeight="1">
      <c r="B94" s="302" t="s">
        <v>16</v>
      </c>
      <c r="C94" s="302" t="s">
        <v>982</v>
      </c>
      <c r="D94" s="302" t="s">
        <v>513</v>
      </c>
      <c r="E94" s="302" t="s">
        <v>1021</v>
      </c>
      <c r="F94" s="302" t="s">
        <v>1022</v>
      </c>
      <c r="G94" s="302" t="s">
        <v>1023</v>
      </c>
      <c r="H94" s="302" t="s">
        <v>1024</v>
      </c>
    </row>
    <row r="95" spans="2:8" ht="16" customHeight="1">
      <c r="B95" s="270" t="s">
        <v>59</v>
      </c>
      <c r="C95" s="308" t="s">
        <v>1025</v>
      </c>
      <c r="D95" s="308" t="s">
        <v>39</v>
      </c>
      <c r="E95" s="308" t="s">
        <v>1026</v>
      </c>
      <c r="F95" s="314" t="s">
        <v>513</v>
      </c>
      <c r="G95" s="308" t="s">
        <v>25</v>
      </c>
      <c r="H95" s="312">
        <v>1</v>
      </c>
    </row>
    <row r="96" spans="2:8" ht="16" customHeight="1">
      <c r="B96" s="273" t="s">
        <v>427</v>
      </c>
      <c r="C96" s="309" t="s">
        <v>1027</v>
      </c>
      <c r="D96" s="309" t="s">
        <v>1028</v>
      </c>
      <c r="E96" s="309" t="s">
        <v>1029</v>
      </c>
      <c r="F96" s="314" t="s">
        <v>513</v>
      </c>
      <c r="G96" s="309" t="s">
        <v>1030</v>
      </c>
      <c r="H96" s="312">
        <v>1</v>
      </c>
    </row>
    <row r="97" spans="2:8" ht="16" customHeight="1">
      <c r="B97" s="270" t="s">
        <v>49</v>
      </c>
      <c r="C97" s="308" t="s">
        <v>1031</v>
      </c>
      <c r="D97" s="308" t="s">
        <v>1032</v>
      </c>
      <c r="E97" s="308" t="s">
        <v>1033</v>
      </c>
      <c r="F97" s="314" t="s">
        <v>513</v>
      </c>
      <c r="G97" s="308" t="s">
        <v>1034</v>
      </c>
      <c r="H97" s="312">
        <v>1</v>
      </c>
    </row>
    <row r="98" spans="2:8" ht="16" customHeight="1">
      <c r="B98" s="273" t="s">
        <v>45</v>
      </c>
      <c r="C98" s="309" t="s">
        <v>1035</v>
      </c>
      <c r="D98" s="309" t="s">
        <v>120</v>
      </c>
      <c r="E98" s="309" t="s">
        <v>1036</v>
      </c>
      <c r="F98" s="314" t="s">
        <v>513</v>
      </c>
      <c r="G98" s="309" t="s">
        <v>1015</v>
      </c>
      <c r="H98" s="312">
        <v>1</v>
      </c>
    </row>
    <row r="99" spans="2:8" ht="16" customHeight="1">
      <c r="B99" s="270" t="s">
        <v>1037</v>
      </c>
      <c r="C99" s="308" t="s">
        <v>78</v>
      </c>
      <c r="D99" s="308" t="s">
        <v>98</v>
      </c>
      <c r="E99" s="308" t="s">
        <v>1038</v>
      </c>
      <c r="F99" s="315" t="s">
        <v>982</v>
      </c>
      <c r="G99" s="308" t="s">
        <v>1039</v>
      </c>
      <c r="H99" s="316">
        <v>0</v>
      </c>
    </row>
    <row r="100" spans="2:8" ht="16" customHeight="1">
      <c r="B100" s="602" t="s">
        <v>1040</v>
      </c>
      <c r="C100" s="540"/>
      <c r="D100" s="540"/>
      <c r="E100" s="540"/>
      <c r="F100" s="317" t="s">
        <v>1041</v>
      </c>
      <c r="G100" s="317" t="s">
        <v>1042</v>
      </c>
      <c r="H100" s="317">
        <f>0.4*H95+0.3*H96+0.15*H97+0.1*H98+0.05*H99</f>
        <v>0.95</v>
      </c>
    </row>
  </sheetData>
  <mergeCells count="23">
    <mergeCell ref="O5:S5"/>
    <mergeCell ref="O7:S7"/>
    <mergeCell ref="O40:S40"/>
    <mergeCell ref="P42:S42"/>
    <mergeCell ref="P43:S43"/>
    <mergeCell ref="P44:S44"/>
    <mergeCell ref="P45:S45"/>
    <mergeCell ref="P46:S46"/>
    <mergeCell ref="P47:S47"/>
    <mergeCell ref="P48:S48"/>
    <mergeCell ref="P49:S49"/>
    <mergeCell ref="P50:S50"/>
    <mergeCell ref="P51:S51"/>
    <mergeCell ref="P52:S52"/>
    <mergeCell ref="B62:G62"/>
    <mergeCell ref="B77:F77"/>
    <mergeCell ref="B92:H92"/>
    <mergeCell ref="B100:E100"/>
    <mergeCell ref="B43:E43"/>
    <mergeCell ref="B44:E44"/>
    <mergeCell ref="B52:E52"/>
    <mergeCell ref="B58:E58"/>
    <mergeCell ref="B59:E59"/>
  </mergeCells>
  <conditionalFormatting sqref="C13">
    <cfRule type="cellIs" dxfId="18" priority="1" operator="greaterThan">
      <formula>0.12</formula>
    </cfRule>
    <cfRule type="cellIs" dxfId="17" priority="2" operator="lessThanOrEqual">
      <formula>0.12</formula>
    </cfRule>
    <cfRule type="cellIs" dxfId="16" priority="5" operator="greaterThanOrEqual">
      <formula>0.12</formula>
    </cfRule>
    <cfRule type="cellIs" dxfId="15" priority="6" operator="lessThan">
      <formula>0.12</formula>
    </cfRule>
  </conditionalFormatting>
  <conditionalFormatting sqref="C29">
    <cfRule type="cellIs" dxfId="14" priority="3" operator="greaterThan">
      <formula>0.12</formula>
    </cfRule>
    <cfRule type="cellIs" dxfId="13" priority="4" operator="lessThanOrEqual">
      <formula>0.12</formula>
    </cfRule>
    <cfRule type="cellIs" dxfId="12" priority="9" operator="greaterThanOrEqual">
      <formula>0.12</formula>
    </cfRule>
    <cfRule type="cellIs" dxfId="11" priority="10" operator="lessThan">
      <formula>0.12</formula>
    </cfRule>
  </conditionalFormatting>
  <conditionalFormatting sqref="D45:J51">
    <cfRule type="cellIs" dxfId="10" priority="11" operator="greaterThanOrEqual">
      <formula>0.12</formula>
    </cfRule>
    <cfRule type="cellIs" dxfId="9" priority="12" operator="lessThan">
      <formula>0.12</formula>
    </cfRule>
  </conditionalFormatting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F82CB-DD55-B068-FDB3-7045774C5257}">
  <sheetPr>
    <tabColor rgb="FFC9952B"/>
  </sheetPr>
  <dimension ref="B1:M72"/>
  <sheetViews>
    <sheetView showGridLines="0" workbookViewId="0">
      <pane ySplit="6" topLeftCell="A53" activePane="bottomLeft" state="frozen"/>
      <selection pane="bottomLeft"/>
    </sheetView>
  </sheetViews>
  <sheetFormatPr baseColWidth="10" defaultColWidth="9" defaultRowHeight="16" customHeight="1"/>
  <cols>
    <col min="1" max="1" width="2.5" customWidth="1"/>
    <col min="2" max="2" width="27.5" customWidth="1"/>
    <col min="3" max="5" width="18.1640625" customWidth="1"/>
    <col min="6" max="6" width="20" customWidth="1"/>
    <col min="7" max="11" width="6" customWidth="1"/>
    <col min="12" max="12" width="6.83203125" customWidth="1"/>
  </cols>
  <sheetData>
    <row r="1" spans="2:13" ht="19.5" customHeight="1">
      <c r="B1" s="596" t="s">
        <v>1043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</row>
    <row r="2" spans="2:13" ht="14.25" customHeight="1">
      <c r="B2" s="569" t="s">
        <v>496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3" spans="2:13" ht="16" customHeight="1">
      <c r="B3" s="625" t="s">
        <v>1044</v>
      </c>
      <c r="C3" s="540"/>
      <c r="D3" s="540"/>
      <c r="E3" s="540"/>
      <c r="F3" s="540"/>
    </row>
    <row r="4" spans="2:13" ht="14.25" customHeight="1">
      <c r="B4" s="626" t="s">
        <v>1045</v>
      </c>
      <c r="C4" s="540"/>
      <c r="D4" s="540"/>
      <c r="E4" s="540"/>
      <c r="F4" s="540"/>
    </row>
    <row r="5" spans="2:13" ht="16.5" customHeight="1"/>
    <row r="6" spans="2:13" ht="16.5" customHeight="1"/>
    <row r="7" spans="2:13" ht="18.75" customHeight="1">
      <c r="B7" s="125" t="s">
        <v>1046</v>
      </c>
      <c r="C7" s="126"/>
      <c r="D7" s="126"/>
      <c r="E7" s="126"/>
      <c r="F7" s="126"/>
      <c r="G7" s="126"/>
      <c r="H7" s="126"/>
      <c r="I7" s="126"/>
      <c r="J7" s="126"/>
      <c r="K7" s="126"/>
      <c r="L7" s="126"/>
    </row>
    <row r="8" spans="2:13" ht="15" customHeight="1">
      <c r="B8" s="127" t="s">
        <v>1047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</row>
    <row r="9" spans="2:13" ht="16.5" customHeight="1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2:13" ht="16" customHeight="1">
      <c r="B10" s="216" t="s">
        <v>1048</v>
      </c>
      <c r="C10" s="217"/>
      <c r="D10" s="217"/>
      <c r="E10" s="217"/>
      <c r="F10" s="217"/>
      <c r="G10" s="126"/>
      <c r="H10" s="126"/>
      <c r="I10" s="126"/>
      <c r="J10" s="126"/>
      <c r="K10" s="126"/>
      <c r="L10" s="126"/>
    </row>
    <row r="11" spans="2:13" ht="16" customHeight="1">
      <c r="B11" s="141"/>
      <c r="C11" s="318" t="s">
        <v>112</v>
      </c>
      <c r="D11" s="319" t="s">
        <v>118</v>
      </c>
      <c r="E11" s="320" t="s">
        <v>122</v>
      </c>
      <c r="F11" s="142" t="s">
        <v>571</v>
      </c>
      <c r="G11" s="126"/>
      <c r="H11" s="126"/>
      <c r="I11" s="126"/>
      <c r="J11" s="126"/>
      <c r="K11" s="126"/>
      <c r="L11" s="126"/>
    </row>
    <row r="12" spans="2:13" ht="16" customHeight="1">
      <c r="B12" s="132" t="s">
        <v>1049</v>
      </c>
      <c r="C12" s="321">
        <v>0.2</v>
      </c>
      <c r="D12" s="321">
        <v>0.6</v>
      </c>
      <c r="E12" s="321">
        <v>0.2</v>
      </c>
      <c r="F12" s="126"/>
      <c r="G12" s="126"/>
      <c r="H12" s="126"/>
      <c r="I12" s="126"/>
      <c r="J12" s="126"/>
      <c r="K12" s="126"/>
      <c r="L12" s="126"/>
    </row>
    <row r="13" spans="2:13" ht="16" customHeight="1">
      <c r="B13" s="132"/>
      <c r="C13" s="126"/>
      <c r="D13" s="126"/>
      <c r="E13" s="126"/>
      <c r="F13" s="126"/>
      <c r="G13" s="126"/>
      <c r="H13" s="126"/>
      <c r="I13" s="126"/>
      <c r="J13" s="126"/>
      <c r="K13" s="126"/>
      <c r="L13" s="126"/>
    </row>
    <row r="14" spans="2:13" ht="16" customHeight="1">
      <c r="B14" s="322" t="s">
        <v>497</v>
      </c>
      <c r="C14" s="323"/>
      <c r="D14" s="323"/>
      <c r="E14" s="323"/>
      <c r="F14" s="323"/>
      <c r="G14" s="126"/>
      <c r="H14" s="126"/>
      <c r="I14" s="126"/>
      <c r="J14" s="126"/>
      <c r="K14" s="126"/>
      <c r="L14" s="126"/>
    </row>
    <row r="15" spans="2:13" ht="16" customHeight="1">
      <c r="B15" s="132" t="s">
        <v>525</v>
      </c>
      <c r="C15" s="126" t="s">
        <v>1050</v>
      </c>
      <c r="D15" s="126" t="s">
        <v>1051</v>
      </c>
      <c r="E15" s="126" t="s">
        <v>1052</v>
      </c>
      <c r="F15" s="126"/>
      <c r="G15" s="126"/>
      <c r="H15" s="126"/>
      <c r="I15" s="126"/>
      <c r="J15" s="126"/>
      <c r="K15" s="126"/>
      <c r="L15" s="126"/>
    </row>
    <row r="16" spans="2:13" ht="16" customHeight="1">
      <c r="B16" s="132" t="s">
        <v>529</v>
      </c>
      <c r="C16" s="126" t="s">
        <v>361</v>
      </c>
      <c r="D16" s="126" t="s">
        <v>362</v>
      </c>
      <c r="E16" s="126" t="s">
        <v>1053</v>
      </c>
      <c r="F16" s="126"/>
      <c r="G16" s="126"/>
      <c r="H16" s="126"/>
      <c r="I16" s="126"/>
      <c r="J16" s="126"/>
      <c r="K16" s="126"/>
      <c r="L16" s="126"/>
    </row>
    <row r="17" spans="2:12" ht="16" customHeight="1">
      <c r="B17" s="132" t="s">
        <v>314</v>
      </c>
      <c r="C17" s="194">
        <v>0.36</v>
      </c>
      <c r="D17" s="194">
        <v>0.4</v>
      </c>
      <c r="E17" s="194">
        <v>0.42</v>
      </c>
      <c r="F17" s="126"/>
      <c r="G17" s="126"/>
      <c r="H17" s="126"/>
      <c r="I17" s="126"/>
      <c r="J17" s="126"/>
      <c r="K17" s="126"/>
      <c r="L17" s="126"/>
    </row>
    <row r="18" spans="2:12" ht="16" customHeight="1">
      <c r="B18" s="132" t="s">
        <v>536</v>
      </c>
      <c r="C18" s="126" t="s">
        <v>1054</v>
      </c>
      <c r="D18" s="126" t="s">
        <v>1055</v>
      </c>
      <c r="E18" s="126" t="s">
        <v>1056</v>
      </c>
      <c r="F18" s="126"/>
      <c r="G18" s="126"/>
      <c r="H18" s="126"/>
      <c r="I18" s="126"/>
      <c r="J18" s="126"/>
      <c r="K18" s="126"/>
      <c r="L18" s="126"/>
    </row>
    <row r="19" spans="2:12" ht="16" customHeight="1">
      <c r="B19" s="132" t="s">
        <v>324</v>
      </c>
      <c r="C19" s="126" t="s">
        <v>1057</v>
      </c>
      <c r="D19" s="126" t="s">
        <v>1058</v>
      </c>
      <c r="E19" s="126" t="s">
        <v>1058</v>
      </c>
      <c r="F19" s="126"/>
      <c r="G19" s="126"/>
      <c r="H19" s="126"/>
      <c r="I19" s="126"/>
      <c r="J19" s="126"/>
      <c r="K19" s="126"/>
      <c r="L19" s="126"/>
    </row>
    <row r="20" spans="2:12" ht="16" customHeight="1">
      <c r="B20" s="132" t="s">
        <v>1059</v>
      </c>
      <c r="C20" s="126" t="s">
        <v>1060</v>
      </c>
      <c r="D20" s="126" t="s">
        <v>1061</v>
      </c>
      <c r="E20" s="126" t="s">
        <v>1062</v>
      </c>
      <c r="F20" s="126"/>
      <c r="G20" s="126"/>
      <c r="H20" s="126"/>
      <c r="I20" s="126"/>
      <c r="J20" s="126"/>
      <c r="K20" s="126"/>
      <c r="L20" s="126"/>
    </row>
    <row r="21" spans="2:12" ht="16" customHeight="1">
      <c r="B21" s="132"/>
      <c r="C21" s="126"/>
      <c r="D21" s="126"/>
      <c r="E21" s="126"/>
      <c r="F21" s="126"/>
      <c r="G21" s="126"/>
      <c r="H21" s="126"/>
      <c r="I21" s="126"/>
      <c r="J21" s="126"/>
      <c r="K21" s="126"/>
      <c r="L21" s="126"/>
    </row>
    <row r="22" spans="2:12" ht="16" customHeight="1">
      <c r="B22" s="141" t="s">
        <v>1063</v>
      </c>
      <c r="C22" s="225"/>
      <c r="D22" s="225"/>
      <c r="E22" s="225"/>
      <c r="F22" s="225"/>
      <c r="G22" s="126"/>
      <c r="H22" s="126"/>
      <c r="I22" s="126"/>
      <c r="J22" s="126"/>
      <c r="K22" s="126"/>
      <c r="L22" s="126"/>
    </row>
    <row r="23" spans="2:12" ht="16" customHeight="1">
      <c r="B23" s="149" t="s">
        <v>308</v>
      </c>
      <c r="C23" s="324">
        <v>0.14299999999999999</v>
      </c>
      <c r="D23" s="325">
        <v>0.17799999999999999</v>
      </c>
      <c r="E23" s="326">
        <v>0.22900000000000001</v>
      </c>
      <c r="F23" s="327">
        <f>C23*C12+D23*D12+E23*E12</f>
        <v>0.1812</v>
      </c>
      <c r="G23" s="126"/>
      <c r="H23" s="126"/>
      <c r="I23" s="126"/>
      <c r="J23" s="126"/>
      <c r="K23" s="126"/>
      <c r="L23" s="126"/>
    </row>
    <row r="24" spans="2:12" ht="16" customHeight="1">
      <c r="B24" s="149" t="s">
        <v>42</v>
      </c>
      <c r="C24" s="328">
        <v>-2</v>
      </c>
      <c r="D24" s="329">
        <v>0.69</v>
      </c>
      <c r="E24" s="330">
        <v>18.5</v>
      </c>
      <c r="F24" s="331">
        <v>3.5</v>
      </c>
      <c r="G24" s="126"/>
      <c r="H24" s="126"/>
      <c r="I24" s="126"/>
      <c r="J24" s="126"/>
      <c r="K24" s="126"/>
      <c r="L24" s="126"/>
    </row>
    <row r="25" spans="2:12" ht="16" customHeight="1">
      <c r="B25" s="149" t="s">
        <v>909</v>
      </c>
      <c r="C25" s="332" t="s">
        <v>1064</v>
      </c>
      <c r="D25" s="333" t="s">
        <v>1065</v>
      </c>
      <c r="E25" s="334">
        <v>6.4</v>
      </c>
      <c r="F25" s="335" t="s">
        <v>1066</v>
      </c>
      <c r="G25" s="126"/>
      <c r="H25" s="126"/>
      <c r="I25" s="126"/>
      <c r="J25" s="126"/>
      <c r="K25" s="126"/>
      <c r="L25" s="126"/>
    </row>
    <row r="26" spans="2:12" ht="16" customHeight="1">
      <c r="B26" s="149" t="s">
        <v>49</v>
      </c>
      <c r="C26" s="336" t="s">
        <v>1067</v>
      </c>
      <c r="D26" s="337">
        <v>2.71</v>
      </c>
      <c r="E26" s="338">
        <v>3.4</v>
      </c>
      <c r="F26" s="339" t="e">
        <f>C26*C12+D26*D12+E26*E12</f>
        <v>#VALUE!</v>
      </c>
      <c r="G26" s="126"/>
      <c r="H26" s="126"/>
      <c r="I26" s="126"/>
      <c r="J26" s="126"/>
      <c r="K26" s="126"/>
      <c r="L26" s="126"/>
    </row>
    <row r="27" spans="2:12" ht="16" customHeight="1">
      <c r="B27" s="149" t="s">
        <v>550</v>
      </c>
      <c r="C27" s="252">
        <v>4.8</v>
      </c>
      <c r="D27" s="340">
        <v>7.83</v>
      </c>
      <c r="E27" s="341">
        <v>11.2</v>
      </c>
      <c r="F27" s="342">
        <f>C27*C12+D27*D12+E27*E12</f>
        <v>7.8979999999999997</v>
      </c>
      <c r="G27" s="126"/>
      <c r="H27" s="126"/>
      <c r="I27" s="126"/>
      <c r="J27" s="126"/>
      <c r="K27" s="126"/>
      <c r="L27" s="126"/>
    </row>
    <row r="28" spans="2:12" ht="16" customHeight="1">
      <c r="B28" s="149" t="s">
        <v>551</v>
      </c>
      <c r="C28" s="343">
        <v>57.6</v>
      </c>
      <c r="D28" s="344">
        <v>93.9</v>
      </c>
      <c r="E28" s="345">
        <v>134.4</v>
      </c>
      <c r="F28" s="346">
        <f>C28*C12+D28*D12+E28*E12</f>
        <v>94.740000000000009</v>
      </c>
      <c r="G28" s="126"/>
      <c r="H28" s="126"/>
      <c r="I28" s="126"/>
      <c r="J28" s="126"/>
      <c r="K28" s="126"/>
      <c r="L28" s="126"/>
    </row>
    <row r="29" spans="2:12" ht="16" customHeight="1">
      <c r="B29" s="132"/>
      <c r="C29" s="126"/>
      <c r="D29" s="126"/>
      <c r="E29" s="126"/>
      <c r="F29" s="126"/>
      <c r="G29" s="126"/>
      <c r="H29" s="126"/>
      <c r="I29" s="126"/>
      <c r="J29" s="126"/>
      <c r="K29" s="126"/>
      <c r="L29" s="126"/>
    </row>
    <row r="30" spans="2:12" ht="32.25" customHeight="1">
      <c r="B30" s="147" t="s">
        <v>1068</v>
      </c>
      <c r="C30" s="347">
        <f>F23</f>
        <v>0.1812</v>
      </c>
      <c r="D30" s="348" t="s">
        <v>1069</v>
      </c>
      <c r="E30" s="235"/>
      <c r="F30" s="235"/>
      <c r="G30" s="126"/>
      <c r="H30" s="126"/>
      <c r="I30" s="126"/>
      <c r="J30" s="126"/>
      <c r="K30" s="126"/>
      <c r="L30" s="126"/>
    </row>
    <row r="31" spans="2:12" ht="16" customHeight="1"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</row>
    <row r="32" spans="2:12" ht="16" customHeight="1">
      <c r="B32" s="131" t="s">
        <v>1070</v>
      </c>
      <c r="C32" s="349"/>
      <c r="D32" s="349"/>
      <c r="E32" s="349"/>
      <c r="F32" s="349"/>
      <c r="G32" s="126"/>
      <c r="H32" s="126"/>
      <c r="I32" s="126"/>
      <c r="J32" s="126"/>
      <c r="K32" s="126"/>
      <c r="L32" s="126"/>
    </row>
    <row r="33" spans="2:12" ht="16" customHeight="1">
      <c r="B33" s="350" t="s">
        <v>1071</v>
      </c>
      <c r="C33" s="126"/>
      <c r="D33" s="126"/>
      <c r="E33" s="126"/>
      <c r="F33" s="126"/>
      <c r="G33" s="126"/>
      <c r="H33" s="126"/>
      <c r="I33" s="126"/>
      <c r="J33" s="126"/>
      <c r="K33" s="126"/>
      <c r="L33" s="126"/>
    </row>
    <row r="34" spans="2:12" ht="16" customHeight="1">
      <c r="B34" t="s">
        <v>1072</v>
      </c>
      <c r="C34" s="351" t="s">
        <v>1073</v>
      </c>
      <c r="D34" s="352" t="s">
        <v>922</v>
      </c>
      <c r="E34" s="353" t="s">
        <v>1074</v>
      </c>
      <c r="F34" s="352" t="s">
        <v>922</v>
      </c>
    </row>
    <row r="35" spans="2:12" ht="16" customHeight="1">
      <c r="B35" s="350" t="s">
        <v>1075</v>
      </c>
      <c r="C35" s="126"/>
      <c r="D35" s="126"/>
      <c r="E35" s="126"/>
      <c r="F35" s="126"/>
      <c r="G35" s="126"/>
      <c r="H35" s="126"/>
      <c r="I35" s="126"/>
      <c r="J35" s="126"/>
      <c r="K35" s="126"/>
      <c r="L35" s="126"/>
    </row>
    <row r="36" spans="2:12" ht="16" customHeight="1">
      <c r="B36" s="350" t="s">
        <v>1076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</row>
    <row r="37" spans="2:12" ht="16" customHeight="1">
      <c r="B37" s="350" t="s">
        <v>1077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</row>
    <row r="38" spans="2:12" ht="16" customHeight="1">
      <c r="B38" s="350" t="s">
        <v>1078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6"/>
    </row>
    <row r="39" spans="2:12" ht="16" customHeight="1"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</row>
    <row r="40" spans="2:12" ht="16" customHeight="1">
      <c r="B40" s="247" t="s">
        <v>1079</v>
      </c>
      <c r="C40" s="217"/>
      <c r="D40" s="217"/>
      <c r="E40" s="217"/>
      <c r="F40" s="217"/>
      <c r="G40" s="217"/>
      <c r="H40" s="217"/>
      <c r="I40" s="217"/>
      <c r="J40" s="217"/>
      <c r="K40" s="217"/>
      <c r="L40" s="217"/>
    </row>
    <row r="41" spans="2:12" ht="16" customHeight="1">
      <c r="B41" s="142"/>
      <c r="C41" s="142" t="s">
        <v>331</v>
      </c>
      <c r="D41" s="142" t="s">
        <v>332</v>
      </c>
      <c r="E41" s="142" t="s">
        <v>333</v>
      </c>
      <c r="F41" s="142" t="s">
        <v>794</v>
      </c>
      <c r="G41" s="142" t="s">
        <v>334</v>
      </c>
      <c r="H41" s="142" t="s">
        <v>795</v>
      </c>
      <c r="I41" s="142" t="s">
        <v>335</v>
      </c>
      <c r="J41" s="142" t="s">
        <v>796</v>
      </c>
      <c r="K41" s="142" t="s">
        <v>552</v>
      </c>
      <c r="L41" s="142" t="s">
        <v>336</v>
      </c>
    </row>
    <row r="42" spans="2:12" ht="16" customHeight="1">
      <c r="B42" s="350" t="s">
        <v>1080</v>
      </c>
      <c r="C42" s="219">
        <v>5.5</v>
      </c>
      <c r="D42" s="219">
        <v>6.4</v>
      </c>
      <c r="E42" s="219">
        <v>7.2</v>
      </c>
      <c r="F42" s="219">
        <v>7.8</v>
      </c>
      <c r="G42" s="219">
        <v>8.1999999999999993</v>
      </c>
      <c r="H42" s="219">
        <v>8.61</v>
      </c>
      <c r="I42" s="219">
        <v>9.0399999999999991</v>
      </c>
      <c r="J42" s="219">
        <v>9.49</v>
      </c>
      <c r="K42" s="219">
        <v>9.9700000000000006</v>
      </c>
      <c r="L42" s="219">
        <v>10.47</v>
      </c>
    </row>
    <row r="43" spans="2:12" ht="16" customHeight="1">
      <c r="B43" s="354" t="s">
        <v>1081</v>
      </c>
      <c r="C43" s="219">
        <v>7.33</v>
      </c>
      <c r="D43" s="219">
        <v>8.73</v>
      </c>
      <c r="E43" s="219">
        <v>10.02</v>
      </c>
      <c r="F43" s="219">
        <v>12.64</v>
      </c>
      <c r="G43" s="219">
        <v>15.17</v>
      </c>
      <c r="H43" s="219">
        <v>15.93</v>
      </c>
      <c r="I43" s="219">
        <v>16.73</v>
      </c>
      <c r="J43" s="219">
        <v>17.57</v>
      </c>
      <c r="K43" s="219">
        <v>18.440000000000001</v>
      </c>
      <c r="L43" s="219">
        <v>19.37</v>
      </c>
    </row>
    <row r="44" spans="2:12" ht="16" customHeight="1">
      <c r="B44" s="355" t="s">
        <v>1082</v>
      </c>
      <c r="C44" s="219">
        <v>8.9</v>
      </c>
      <c r="D44" s="219">
        <v>10.8</v>
      </c>
      <c r="E44" s="219">
        <v>12.6</v>
      </c>
      <c r="F44" s="219">
        <v>16.399999999999999</v>
      </c>
      <c r="G44" s="219">
        <v>20.100000000000001</v>
      </c>
      <c r="H44" s="219">
        <v>21.3</v>
      </c>
      <c r="I44" s="219">
        <v>22.6</v>
      </c>
      <c r="J44" s="219">
        <v>23.95</v>
      </c>
      <c r="K44" s="219">
        <v>25.39</v>
      </c>
      <c r="L44" s="219">
        <v>26.91</v>
      </c>
    </row>
    <row r="45" spans="2:12" ht="16" customHeight="1"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</row>
    <row r="46" spans="2:12" ht="16" customHeight="1">
      <c r="B46" s="222" t="s">
        <v>493</v>
      </c>
      <c r="C46" s="126"/>
      <c r="D46" s="126"/>
      <c r="E46" s="126"/>
      <c r="F46" s="126"/>
      <c r="G46" s="126"/>
      <c r="H46" s="126"/>
      <c r="I46" s="126"/>
      <c r="J46" s="126"/>
      <c r="K46" s="126"/>
      <c r="L46" s="126"/>
    </row>
    <row r="47" spans="2:12" ht="16" customHeight="1">
      <c r="B47" s="223" t="s">
        <v>494</v>
      </c>
      <c r="C47" s="126"/>
      <c r="D47" s="126"/>
      <c r="E47" s="126"/>
      <c r="F47" s="126"/>
      <c r="G47" s="126"/>
      <c r="H47" s="126"/>
      <c r="I47" s="126"/>
      <c r="J47" s="126"/>
      <c r="K47" s="126"/>
      <c r="L47" s="126"/>
    </row>
    <row r="51" spans="2:7" ht="18.75" customHeight="1">
      <c r="B51" s="630" t="s">
        <v>1083</v>
      </c>
      <c r="C51" s="540"/>
      <c r="D51" s="540"/>
      <c r="E51" s="540"/>
      <c r="F51" s="540"/>
      <c r="G51" s="540"/>
    </row>
    <row r="52" spans="2:7" ht="16" customHeight="1">
      <c r="B52" s="356" t="s">
        <v>207</v>
      </c>
      <c r="C52" s="356" t="s">
        <v>522</v>
      </c>
      <c r="D52" s="356" t="s">
        <v>437</v>
      </c>
      <c r="E52" s="356" t="s">
        <v>523</v>
      </c>
    </row>
    <row r="53" spans="2:7" ht="16" customHeight="1">
      <c r="B53" s="357" t="s">
        <v>211</v>
      </c>
      <c r="C53" s="358" t="s">
        <v>287</v>
      </c>
      <c r="D53" s="358" t="s">
        <v>287</v>
      </c>
      <c r="E53" s="358" t="s">
        <v>287</v>
      </c>
    </row>
    <row r="54" spans="2:7" ht="16" customHeight="1">
      <c r="B54" s="357" t="s">
        <v>213</v>
      </c>
      <c r="C54" s="359" t="s">
        <v>1084</v>
      </c>
      <c r="D54" s="360" t="s">
        <v>1085</v>
      </c>
      <c r="E54" s="361" t="s">
        <v>1086</v>
      </c>
      <c r="F54" s="353" t="s">
        <v>1087</v>
      </c>
    </row>
    <row r="55" spans="2:7" ht="16" customHeight="1">
      <c r="B55" s="357" t="s">
        <v>1088</v>
      </c>
      <c r="C55" s="358" t="s">
        <v>287</v>
      </c>
      <c r="D55" s="358" t="s">
        <v>287</v>
      </c>
      <c r="E55" s="358" t="s">
        <v>287</v>
      </c>
    </row>
    <row r="56" spans="2:7" ht="16" customHeight="1">
      <c r="B56" s="357" t="s">
        <v>1089</v>
      </c>
      <c r="C56" s="358" t="s">
        <v>287</v>
      </c>
      <c r="D56" s="358" t="s">
        <v>287</v>
      </c>
      <c r="E56" s="358" t="s">
        <v>287</v>
      </c>
    </row>
    <row r="57" spans="2:7" ht="16" customHeight="1">
      <c r="B57" s="357" t="s">
        <v>1090</v>
      </c>
      <c r="C57" s="358" t="s">
        <v>287</v>
      </c>
      <c r="D57" s="358" t="s">
        <v>287</v>
      </c>
      <c r="E57" s="358" t="s">
        <v>287</v>
      </c>
    </row>
    <row r="59" spans="2:7" ht="17.25" customHeight="1">
      <c r="B59" s="627" t="s">
        <v>1091</v>
      </c>
      <c r="C59" s="540"/>
      <c r="D59" s="540"/>
      <c r="E59" s="540"/>
      <c r="F59" s="540"/>
    </row>
    <row r="60" spans="2:7" ht="16.5" customHeight="1">
      <c r="B60" s="628" t="s">
        <v>1092</v>
      </c>
      <c r="C60" s="540"/>
      <c r="D60" s="540"/>
      <c r="E60" s="540"/>
      <c r="F60" s="540"/>
    </row>
    <row r="61" spans="2:7" ht="16.5" customHeight="1">
      <c r="B61" s="623" t="s">
        <v>1093</v>
      </c>
      <c r="C61" s="540"/>
      <c r="D61" s="540"/>
      <c r="E61" s="540"/>
      <c r="F61" s="540"/>
    </row>
    <row r="62" spans="2:7" ht="16.5" customHeight="1">
      <c r="B62" s="623" t="s">
        <v>1094</v>
      </c>
      <c r="C62" s="540"/>
      <c r="D62" s="540"/>
      <c r="E62" s="540"/>
      <c r="F62" s="540"/>
    </row>
    <row r="63" spans="2:7" ht="16.5" customHeight="1">
      <c r="B63" s="628" t="s">
        <v>1095</v>
      </c>
      <c r="C63" s="540"/>
      <c r="D63" s="540"/>
      <c r="E63" s="540"/>
      <c r="F63" s="540"/>
    </row>
    <row r="64" spans="2:7" ht="16.5" customHeight="1">
      <c r="B64" s="629" t="s">
        <v>1096</v>
      </c>
      <c r="C64" s="540"/>
      <c r="D64" s="540"/>
      <c r="E64" s="540"/>
      <c r="F64" s="540"/>
    </row>
    <row r="69" spans="2:7" ht="16" customHeight="1">
      <c r="B69" s="630" t="s">
        <v>1097</v>
      </c>
      <c r="C69" s="540"/>
      <c r="D69" s="540"/>
      <c r="E69" s="540"/>
      <c r="F69" s="540"/>
      <c r="G69" s="540"/>
    </row>
    <row r="70" spans="2:7" ht="16" customHeight="1">
      <c r="B70" s="362" t="s">
        <v>522</v>
      </c>
      <c r="C70" s="631" t="s">
        <v>1098</v>
      </c>
      <c r="D70" s="540"/>
      <c r="E70" s="540"/>
      <c r="F70" s="540"/>
      <c r="G70" s="540"/>
    </row>
    <row r="71" spans="2:7" ht="16" customHeight="1">
      <c r="B71" s="362" t="s">
        <v>437</v>
      </c>
      <c r="C71" s="622" t="s">
        <v>1099</v>
      </c>
      <c r="D71" s="623" t="s">
        <v>1100</v>
      </c>
      <c r="E71" s="540"/>
      <c r="F71" s="540"/>
      <c r="G71" s="540"/>
    </row>
    <row r="72" spans="2:7" ht="16" customHeight="1">
      <c r="B72" s="362" t="s">
        <v>523</v>
      </c>
      <c r="C72" s="624" t="s">
        <v>1101</v>
      </c>
      <c r="D72" s="540"/>
      <c r="E72" s="540"/>
      <c r="F72" s="540"/>
      <c r="G72" s="540"/>
    </row>
  </sheetData>
  <mergeCells count="15">
    <mergeCell ref="B1:M1"/>
    <mergeCell ref="B2:M2"/>
    <mergeCell ref="B51:G51"/>
    <mergeCell ref="B69:G69"/>
    <mergeCell ref="C70:G70"/>
    <mergeCell ref="C71:G71"/>
    <mergeCell ref="C72:G72"/>
    <mergeCell ref="B3:F3"/>
    <mergeCell ref="B4:F4"/>
    <mergeCell ref="B59:F59"/>
    <mergeCell ref="B60:F60"/>
    <mergeCell ref="B61:F61"/>
    <mergeCell ref="B62:F62"/>
    <mergeCell ref="B63:F63"/>
    <mergeCell ref="B64:F64"/>
  </mergeCells>
  <conditionalFormatting sqref="C23:E23">
    <cfRule type="cellIs" dxfId="8" priority="1" operator="greaterThanOrEqual">
      <formula>0.12</formula>
    </cfRule>
    <cfRule type="cellIs" dxfId="7" priority="2" operator="lessThan">
      <formula>0.12</formula>
    </cfRule>
  </conditionalFormatting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208-8A76-58C3-5789-D9E5DE742028}">
  <sheetPr>
    <tabColor rgb="FFC9952B"/>
  </sheetPr>
  <dimension ref="A1:Z129"/>
  <sheetViews>
    <sheetView showGridLines="0" topLeftCell="A110" workbookViewId="0">
      <pane xSplit="2" topLeftCell="C1" activePane="topRight" state="frozen"/>
      <selection pane="topRight"/>
    </sheetView>
  </sheetViews>
  <sheetFormatPr baseColWidth="10" defaultColWidth="9" defaultRowHeight="16" customHeight="1"/>
  <cols>
    <col min="1" max="1" width="1.6640625" customWidth="1"/>
    <col min="2" max="2" width="30" customWidth="1"/>
    <col min="3" max="3" width="30.1640625" customWidth="1"/>
    <col min="4" max="7" width="14.1640625" customWidth="1"/>
    <col min="8" max="8" width="15" customWidth="1"/>
    <col min="9" max="12" width="14.1640625" customWidth="1"/>
    <col min="16" max="26" width="9" hidden="1" customWidth="1"/>
  </cols>
  <sheetData>
    <row r="1" spans="1:26" ht="19.5" customHeight="1">
      <c r="B1" s="599" t="s">
        <v>1102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</row>
    <row r="2" spans="1:26" ht="15" customHeight="1">
      <c r="B2" s="600" t="s">
        <v>791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26" ht="16" customHeight="1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6" ht="18" customHeight="1">
      <c r="A4" s="126"/>
      <c r="B4" s="125" t="s">
        <v>370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 t="s">
        <v>1103</v>
      </c>
      <c r="Q4" s="126"/>
      <c r="R4" s="126"/>
      <c r="S4" s="126"/>
      <c r="T4" s="126"/>
    </row>
    <row r="5" spans="1:26" ht="16" customHeight="1">
      <c r="A5" s="126"/>
      <c r="B5" s="127" t="s">
        <v>1104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>
        <v>-43</v>
      </c>
      <c r="Q5" s="126">
        <f t="shared" ref="Q5:Y5" si="0">C31</f>
        <v>2.9613200000000002</v>
      </c>
      <c r="R5" s="126">
        <f t="shared" si="0"/>
        <v>3.5269200000000005</v>
      </c>
      <c r="S5" s="126">
        <f t="shared" si="0"/>
        <v>4.0480799999999997</v>
      </c>
      <c r="T5" s="126">
        <f t="shared" si="0"/>
        <v>5.1065600000000009</v>
      </c>
      <c r="U5" s="264">
        <f>G31-7.3</f>
        <v>-1.1713199999999997</v>
      </c>
      <c r="V5" s="126">
        <f t="shared" si="0"/>
        <v>6.4357199999999999</v>
      </c>
      <c r="W5" s="126">
        <f t="shared" si="0"/>
        <v>6.7589200000000007</v>
      </c>
      <c r="X5" s="126">
        <f t="shared" si="0"/>
        <v>7.0982800000000008</v>
      </c>
      <c r="Y5" s="126">
        <f t="shared" si="0"/>
        <v>7.4497600000000013</v>
      </c>
      <c r="Z5" s="126">
        <f>L31+L31*12</f>
        <v>101.73124000000001</v>
      </c>
    </row>
    <row r="6" spans="1:26" ht="17.25" customHeight="1">
      <c r="A6" s="126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26"/>
      <c r="P6" s="126">
        <v>-43.9</v>
      </c>
      <c r="Q6" s="126">
        <f t="shared" ref="Q6:Y6" si="1">C37</f>
        <v>2.5614442500000005</v>
      </c>
      <c r="R6" s="126">
        <f t="shared" si="1"/>
        <v>3.0678592500000006</v>
      </c>
      <c r="S6" s="126">
        <f t="shared" si="1"/>
        <v>3.5344845000000005</v>
      </c>
      <c r="T6" s="126">
        <f t="shared" si="1"/>
        <v>4.4822040000000012</v>
      </c>
      <c r="U6" s="264">
        <f>G37-7.3</f>
        <v>-1.9026317499999985</v>
      </c>
      <c r="V6" s="126">
        <f t="shared" si="1"/>
        <v>5.6722792500000008</v>
      </c>
      <c r="W6" s="126">
        <f t="shared" si="1"/>
        <v>5.9616592500000012</v>
      </c>
      <c r="X6" s="126">
        <f t="shared" si="1"/>
        <v>6.2655082500000017</v>
      </c>
      <c r="Y6" s="126">
        <f t="shared" si="1"/>
        <v>6.5802090000000009</v>
      </c>
      <c r="Z6" s="126">
        <f>L37+L37*12</f>
        <v>89.915972250000024</v>
      </c>
    </row>
    <row r="7" spans="1:26" ht="16" customHeight="1">
      <c r="A7" s="126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>
        <v>-45</v>
      </c>
      <c r="Q7" s="126">
        <f t="shared" ref="Q7:Y7" si="2">C47</f>
        <v>1.9882417999999997</v>
      </c>
      <c r="R7" s="126">
        <f t="shared" si="2"/>
        <v>2.4634858000000004</v>
      </c>
      <c r="S7" s="126">
        <f t="shared" si="2"/>
        <v>2.9013892000000006</v>
      </c>
      <c r="T7" s="126">
        <f t="shared" si="2"/>
        <v>3.790774400000001</v>
      </c>
      <c r="U7" s="264">
        <f>G47-7.3</f>
        <v>-2.6503917999999995</v>
      </c>
      <c r="V7" s="126">
        <f t="shared" si="2"/>
        <v>4.9075978000000005</v>
      </c>
      <c r="W7" s="126">
        <f t="shared" si="2"/>
        <v>5.1791658000000016</v>
      </c>
      <c r="X7" s="126">
        <f t="shared" si="2"/>
        <v>5.4643122000000011</v>
      </c>
      <c r="Y7" s="126">
        <f t="shared" si="2"/>
        <v>5.7596423999999997</v>
      </c>
      <c r="Z7" s="126">
        <f>L47+L47*12</f>
        <v>78.979422600000021</v>
      </c>
    </row>
    <row r="8" spans="1:26" ht="16" customHeight="1">
      <c r="A8" s="126"/>
      <c r="B8" s="363" t="s">
        <v>1105</v>
      </c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126"/>
      <c r="P8" s="126">
        <v>-45.75</v>
      </c>
      <c r="Q8" s="126">
        <f t="shared" ref="Q8:Y8" si="3">C56</f>
        <v>1.6780074400000002</v>
      </c>
      <c r="R8" s="126">
        <f t="shared" si="3"/>
        <v>2.1083226400000008</v>
      </c>
      <c r="S8" s="126">
        <f t="shared" si="3"/>
        <v>2.5048273600000002</v>
      </c>
      <c r="T8" s="126">
        <f t="shared" si="3"/>
        <v>3.3101315200000014</v>
      </c>
      <c r="U8" s="264">
        <f>G56-7.3</f>
        <v>-3.2122274399999995</v>
      </c>
      <c r="V8" s="126">
        <f t="shared" si="3"/>
        <v>4.3213722399999996</v>
      </c>
      <c r="W8" s="126">
        <f t="shared" si="3"/>
        <v>4.5672666400000006</v>
      </c>
      <c r="X8" s="126">
        <f t="shared" si="3"/>
        <v>4.8254557600000005</v>
      </c>
      <c r="Y8" s="126">
        <f t="shared" si="3"/>
        <v>5.0928659200000004</v>
      </c>
      <c r="Z8" s="126">
        <f>L56+L56*12</f>
        <v>69.923336080000013</v>
      </c>
    </row>
    <row r="9" spans="1:26" ht="39.75" customHeight="1">
      <c r="A9" s="126"/>
      <c r="B9" s="365" t="s">
        <v>1106</v>
      </c>
      <c r="C9" s="365" t="s">
        <v>1107</v>
      </c>
      <c r="D9" s="365" t="s">
        <v>1108</v>
      </c>
      <c r="E9" s="365" t="s">
        <v>1109</v>
      </c>
      <c r="F9" s="365" t="s">
        <v>1110</v>
      </c>
      <c r="G9" s="365" t="s">
        <v>1111</v>
      </c>
      <c r="H9" s="126"/>
      <c r="I9" s="126"/>
      <c r="J9" s="126"/>
      <c r="K9" s="126"/>
      <c r="L9" s="126"/>
      <c r="M9" s="126"/>
      <c r="N9" s="126"/>
      <c r="O9" s="126"/>
      <c r="P9" s="126">
        <v>-43.45</v>
      </c>
      <c r="Q9" s="126">
        <f t="shared" ref="Q9:Y9" si="4">C63</f>
        <v>2.3233230000000007</v>
      </c>
      <c r="R9" s="126">
        <f t="shared" si="4"/>
        <v>2.7756630000000002</v>
      </c>
      <c r="S9" s="126">
        <f t="shared" si="4"/>
        <v>3.1924620000000008</v>
      </c>
      <c r="T9" s="126">
        <f t="shared" si="4"/>
        <v>4.038984000000001</v>
      </c>
      <c r="U9" s="264">
        <f>G63-7.3</f>
        <v>-2.4435729999999998</v>
      </c>
      <c r="V9" s="126">
        <f t="shared" si="4"/>
        <v>5.1019830000000006</v>
      </c>
      <c r="W9" s="126">
        <f t="shared" si="4"/>
        <v>5.3604630000000011</v>
      </c>
      <c r="X9" s="126">
        <f t="shared" si="4"/>
        <v>5.6318670000000006</v>
      </c>
      <c r="Y9" s="126">
        <f t="shared" si="4"/>
        <v>5.9129640000000006</v>
      </c>
      <c r="Z9" s="126">
        <f>L63+L63*12</f>
        <v>80.774811</v>
      </c>
    </row>
    <row r="10" spans="1:26" ht="144" customHeight="1">
      <c r="A10" s="126"/>
      <c r="B10" s="366" t="s">
        <v>1112</v>
      </c>
      <c r="C10" s="367" t="s">
        <v>1113</v>
      </c>
      <c r="D10" s="368" t="s">
        <v>1114</v>
      </c>
      <c r="E10" s="369" t="s">
        <v>1115</v>
      </c>
      <c r="F10" s="369" t="s">
        <v>1116</v>
      </c>
      <c r="G10" s="368" t="s">
        <v>1117</v>
      </c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</row>
    <row r="11" spans="1:26" ht="176.25" customHeight="1">
      <c r="A11" s="126"/>
      <c r="B11" s="366" t="s">
        <v>1118</v>
      </c>
      <c r="C11" s="370" t="s">
        <v>1119</v>
      </c>
      <c r="D11" s="368" t="s">
        <v>1120</v>
      </c>
      <c r="E11" s="368" t="s">
        <v>1121</v>
      </c>
      <c r="F11" s="368" t="s">
        <v>1122</v>
      </c>
      <c r="G11" s="132" t="s">
        <v>1123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</row>
    <row r="12" spans="1:26" ht="96" customHeight="1">
      <c r="A12" s="126"/>
      <c r="B12" s="371" t="s">
        <v>1124</v>
      </c>
      <c r="C12" s="370" t="s">
        <v>1125</v>
      </c>
      <c r="D12" s="372" t="s">
        <v>1126</v>
      </c>
      <c r="E12" s="372" t="s">
        <v>1127</v>
      </c>
      <c r="F12" s="372" t="s">
        <v>1128</v>
      </c>
      <c r="G12" s="372" t="s">
        <v>1129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</row>
    <row r="13" spans="1:26" ht="80.25" customHeight="1">
      <c r="A13" s="126"/>
      <c r="B13" s="373" t="s">
        <v>1130</v>
      </c>
      <c r="C13" s="367" t="s">
        <v>1131</v>
      </c>
      <c r="D13" s="132" t="s">
        <v>1132</v>
      </c>
      <c r="E13" s="132" t="s">
        <v>1133</v>
      </c>
      <c r="F13" s="132" t="s">
        <v>1134</v>
      </c>
      <c r="G13" s="132" t="s">
        <v>1135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</row>
    <row r="14" spans="1:26" ht="144" customHeight="1">
      <c r="A14" s="126"/>
      <c r="B14" s="371" t="s">
        <v>1136</v>
      </c>
      <c r="C14" s="367" t="s">
        <v>1137</v>
      </c>
      <c r="D14" s="372" t="s">
        <v>1138</v>
      </c>
      <c r="E14" s="372" t="s">
        <v>1139</v>
      </c>
      <c r="F14" s="372" t="s">
        <v>1140</v>
      </c>
      <c r="G14" s="372" t="s">
        <v>1141</v>
      </c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spans="1:26" ht="176.25" customHeight="1">
      <c r="A15" s="126"/>
      <c r="B15" s="373" t="s">
        <v>1142</v>
      </c>
      <c r="C15" s="367" t="s">
        <v>1143</v>
      </c>
      <c r="D15" s="132" t="s">
        <v>1144</v>
      </c>
      <c r="E15" s="132" t="s">
        <v>1145</v>
      </c>
      <c r="F15" s="132" t="s">
        <v>1146</v>
      </c>
      <c r="G15" s="132" t="s">
        <v>1147</v>
      </c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6" ht="159.75" customHeight="1">
      <c r="A16" s="126"/>
      <c r="B16" s="371" t="s">
        <v>1148</v>
      </c>
      <c r="C16" s="367" t="s">
        <v>1149</v>
      </c>
      <c r="D16" s="372" t="s">
        <v>1150</v>
      </c>
      <c r="E16" s="372" t="s">
        <v>1151</v>
      </c>
      <c r="F16" s="372" t="s">
        <v>1152</v>
      </c>
      <c r="G16" s="372" t="s">
        <v>1153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</row>
    <row r="17" spans="1:20" ht="176.25" customHeight="1">
      <c r="A17" s="126"/>
      <c r="B17" s="373" t="s">
        <v>1154</v>
      </c>
      <c r="C17" s="367" t="s">
        <v>1155</v>
      </c>
      <c r="D17" s="132" t="s">
        <v>1156</v>
      </c>
      <c r="E17" s="132" t="s">
        <v>1157</v>
      </c>
      <c r="F17" s="132" t="s">
        <v>1158</v>
      </c>
      <c r="G17" s="132" t="s">
        <v>1159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92" customHeight="1">
      <c r="A18" s="126"/>
      <c r="B18" s="371" t="s">
        <v>1160</v>
      </c>
      <c r="C18" s="367" t="s">
        <v>1161</v>
      </c>
      <c r="D18" s="372" t="s">
        <v>1162</v>
      </c>
      <c r="E18" s="372" t="s">
        <v>1163</v>
      </c>
      <c r="F18" s="372" t="s">
        <v>1164</v>
      </c>
      <c r="G18" s="372" t="s">
        <v>1165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ht="224.25" customHeight="1">
      <c r="A19" s="126"/>
      <c r="B19" s="373" t="s">
        <v>1166</v>
      </c>
      <c r="C19" s="367" t="s">
        <v>1167</v>
      </c>
      <c r="D19" s="132" t="s">
        <v>1168</v>
      </c>
      <c r="E19" s="374" t="s">
        <v>1169</v>
      </c>
      <c r="F19" s="374" t="s">
        <v>1170</v>
      </c>
      <c r="G19" s="132" t="s">
        <v>1171</v>
      </c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</row>
    <row r="20" spans="1:20" ht="192" customHeight="1">
      <c r="A20" s="126"/>
      <c r="B20" s="371" t="s">
        <v>1172</v>
      </c>
      <c r="C20" s="367" t="s">
        <v>1173</v>
      </c>
      <c r="D20" s="372" t="s">
        <v>1174</v>
      </c>
      <c r="E20" s="372" t="s">
        <v>1175</v>
      </c>
      <c r="F20" s="372" t="s">
        <v>1176</v>
      </c>
      <c r="G20" s="372" t="s">
        <v>1177</v>
      </c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</row>
    <row r="21" spans="1:20" ht="192" customHeight="1">
      <c r="A21" s="126"/>
      <c r="B21" s="373" t="s">
        <v>1178</v>
      </c>
      <c r="C21" s="370" t="s">
        <v>1179</v>
      </c>
      <c r="D21" s="132" t="s">
        <v>1180</v>
      </c>
      <c r="E21" s="374" t="s">
        <v>1181</v>
      </c>
      <c r="F21" s="374" t="s">
        <v>1182</v>
      </c>
      <c r="G21" s="132" t="s">
        <v>1183</v>
      </c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6" customHeight="1">
      <c r="A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6" customHeight="1">
      <c r="A23" s="126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</row>
    <row r="24" spans="1:20" ht="17.25" customHeight="1">
      <c r="A24" s="126"/>
      <c r="B24" s="375" t="s">
        <v>1184</v>
      </c>
      <c r="C24" s="376"/>
      <c r="D24" s="376"/>
      <c r="E24" s="376"/>
      <c r="F24" s="376"/>
      <c r="G24" s="376"/>
      <c r="H24" s="376"/>
      <c r="I24" s="376"/>
      <c r="J24" s="376"/>
      <c r="K24" s="376"/>
      <c r="L24" s="376"/>
      <c r="M24" s="217"/>
      <c r="N24" s="217"/>
      <c r="O24" s="126"/>
      <c r="P24" s="126"/>
      <c r="Q24" s="126"/>
      <c r="R24" s="126"/>
      <c r="S24" s="126"/>
      <c r="T24" s="126"/>
    </row>
    <row r="25" spans="1:20" ht="15.75" customHeight="1">
      <c r="A25" s="126"/>
      <c r="B25" s="165" t="s">
        <v>330</v>
      </c>
      <c r="C25" s="377" t="s">
        <v>1185</v>
      </c>
      <c r="D25" s="377" t="s">
        <v>1186</v>
      </c>
      <c r="E25" s="377" t="s">
        <v>1187</v>
      </c>
      <c r="F25" s="377" t="s">
        <v>1188</v>
      </c>
      <c r="G25" s="377" t="s">
        <v>1189</v>
      </c>
      <c r="H25" s="377" t="s">
        <v>1190</v>
      </c>
      <c r="I25" s="377" t="s">
        <v>1191</v>
      </c>
      <c r="J25" s="377" t="s">
        <v>1192</v>
      </c>
      <c r="K25" s="377" t="s">
        <v>1193</v>
      </c>
      <c r="L25" s="377" t="s">
        <v>1194</v>
      </c>
      <c r="M25" s="126"/>
      <c r="N25" s="126"/>
      <c r="O25" s="126"/>
      <c r="P25" s="126"/>
      <c r="Q25" s="126"/>
      <c r="R25" s="126"/>
      <c r="S25" s="126"/>
      <c r="T25" s="126"/>
    </row>
    <row r="26" spans="1:20" ht="15.75" customHeight="1">
      <c r="A26" s="126"/>
      <c r="B26" s="378" t="s">
        <v>1195</v>
      </c>
      <c r="C26" s="379">
        <v>7.33</v>
      </c>
      <c r="D26" s="379">
        <v>8.73</v>
      </c>
      <c r="E26" s="379">
        <v>10.02</v>
      </c>
      <c r="F26" s="379">
        <v>12.64</v>
      </c>
      <c r="G26" s="379">
        <v>15.17</v>
      </c>
      <c r="H26" s="379">
        <v>15.93</v>
      </c>
      <c r="I26" s="379">
        <v>16.73</v>
      </c>
      <c r="J26" s="379">
        <v>17.57</v>
      </c>
      <c r="K26" s="379">
        <v>18.440000000000001</v>
      </c>
      <c r="L26" s="379">
        <v>19.37</v>
      </c>
      <c r="M26" s="126"/>
      <c r="N26" s="126"/>
      <c r="O26" s="126"/>
      <c r="P26" s="126"/>
      <c r="Q26" s="126"/>
      <c r="R26" s="126"/>
      <c r="S26" s="126"/>
      <c r="T26" s="126"/>
    </row>
    <row r="27" spans="1:20" ht="15.75" customHeight="1">
      <c r="A27" s="126"/>
      <c r="B27" s="126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126"/>
      <c r="N27" s="126"/>
      <c r="O27" s="126"/>
      <c r="P27" s="126"/>
      <c r="Q27" s="126"/>
      <c r="R27" s="126"/>
      <c r="S27" s="126"/>
      <c r="T27" s="126"/>
    </row>
    <row r="28" spans="1:20" ht="15.75" customHeight="1">
      <c r="A28" s="126"/>
      <c r="B28" s="380" t="s">
        <v>1196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126"/>
      <c r="N28" s="126"/>
      <c r="O28" s="126"/>
      <c r="P28" s="126"/>
      <c r="Q28" s="126"/>
      <c r="R28" s="126"/>
      <c r="S28" s="126"/>
      <c r="T28" s="126"/>
    </row>
    <row r="29" spans="1:20" ht="15.75" customHeight="1">
      <c r="A29" s="126"/>
      <c r="B29" s="126" t="s">
        <v>1197</v>
      </c>
      <c r="C29" s="379">
        <v>0</v>
      </c>
      <c r="D29" s="379">
        <v>0</v>
      </c>
      <c r="E29" s="379">
        <v>0</v>
      </c>
      <c r="F29" s="379">
        <v>0</v>
      </c>
      <c r="G29" s="379">
        <v>0</v>
      </c>
      <c r="H29" s="379">
        <v>0</v>
      </c>
      <c r="I29" s="379">
        <v>0</v>
      </c>
      <c r="J29" s="379">
        <v>0</v>
      </c>
      <c r="K29" s="379">
        <v>0</v>
      </c>
      <c r="L29" s="379">
        <v>0</v>
      </c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>
      <c r="A30" s="126"/>
      <c r="B30" s="126" t="s">
        <v>1198</v>
      </c>
      <c r="C30" s="379">
        <v>0.40400000000000003</v>
      </c>
      <c r="D30" s="379">
        <v>0.40400000000000003</v>
      </c>
      <c r="E30" s="379">
        <v>0.40400000000000003</v>
      </c>
      <c r="F30" s="379">
        <v>0.40400000000000003</v>
      </c>
      <c r="G30" s="379">
        <v>0.40400000000000003</v>
      </c>
      <c r="H30" s="379">
        <v>0.40400000000000003</v>
      </c>
      <c r="I30" s="379">
        <v>0.40400000000000003</v>
      </c>
      <c r="J30" s="379">
        <v>0.40400000000000003</v>
      </c>
      <c r="K30" s="379">
        <v>0.40400000000000003</v>
      </c>
      <c r="L30" s="379">
        <v>0.40400000000000003</v>
      </c>
      <c r="M30" s="126"/>
      <c r="N30" s="126"/>
      <c r="O30" s="126"/>
      <c r="P30" s="126"/>
      <c r="Q30" s="126"/>
      <c r="R30" s="126"/>
      <c r="S30" s="126"/>
      <c r="T30" s="126"/>
    </row>
    <row r="31" spans="1:20" ht="15.75" customHeight="1">
      <c r="A31" s="126"/>
      <c r="B31" s="162" t="s">
        <v>1199</v>
      </c>
      <c r="C31" s="382">
        <f t="shared" ref="C31:L31" si="5">C26*C30</f>
        <v>2.9613200000000002</v>
      </c>
      <c r="D31" s="382">
        <f t="shared" si="5"/>
        <v>3.5269200000000005</v>
      </c>
      <c r="E31" s="382">
        <f t="shared" si="5"/>
        <v>4.0480799999999997</v>
      </c>
      <c r="F31" s="382">
        <f t="shared" si="5"/>
        <v>5.1065600000000009</v>
      </c>
      <c r="G31" s="382">
        <f t="shared" si="5"/>
        <v>6.1286800000000001</v>
      </c>
      <c r="H31" s="382">
        <f t="shared" si="5"/>
        <v>6.4357199999999999</v>
      </c>
      <c r="I31" s="382">
        <f t="shared" si="5"/>
        <v>6.7589200000000007</v>
      </c>
      <c r="J31" s="382">
        <f t="shared" si="5"/>
        <v>7.0982800000000008</v>
      </c>
      <c r="K31" s="382">
        <f t="shared" si="5"/>
        <v>7.4497600000000013</v>
      </c>
      <c r="L31" s="382">
        <f t="shared" si="5"/>
        <v>7.8254800000000007</v>
      </c>
      <c r="M31" s="126"/>
      <c r="N31" s="126"/>
      <c r="O31" s="126"/>
      <c r="P31" s="126"/>
      <c r="Q31" s="126"/>
      <c r="R31" s="126"/>
      <c r="S31" s="126"/>
      <c r="T31" s="126"/>
    </row>
    <row r="32" spans="1:20" ht="15.75" customHeight="1">
      <c r="A32" s="126"/>
      <c r="B32" s="126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126"/>
      <c r="N32" s="126"/>
      <c r="O32" s="126"/>
      <c r="P32" s="126"/>
      <c r="Q32" s="126"/>
      <c r="R32" s="126"/>
      <c r="S32" s="126"/>
      <c r="T32" s="126"/>
    </row>
    <row r="33" spans="1:20" ht="15.75" customHeight="1">
      <c r="A33" s="126"/>
      <c r="B33" s="319" t="s">
        <v>1200</v>
      </c>
      <c r="C33" s="383"/>
      <c r="D33" s="383"/>
      <c r="E33" s="383"/>
      <c r="F33" s="383"/>
      <c r="G33" s="383"/>
      <c r="H33" s="383"/>
      <c r="I33" s="383"/>
      <c r="J33" s="383"/>
      <c r="K33" s="383"/>
      <c r="L33" s="383"/>
      <c r="M33" s="126"/>
      <c r="N33" s="126"/>
      <c r="O33" s="126"/>
      <c r="P33" s="126"/>
      <c r="Q33" s="126"/>
      <c r="R33" s="126"/>
      <c r="S33" s="126"/>
      <c r="T33" s="126"/>
    </row>
    <row r="34" spans="1:20" ht="15.75" customHeight="1">
      <c r="A34" s="126"/>
      <c r="B34" s="126" t="s">
        <v>1201</v>
      </c>
      <c r="C34" s="379">
        <f t="shared" ref="C34:L34" si="6">C26*1.05</f>
        <v>7.6965000000000003</v>
      </c>
      <c r="D34" s="379">
        <f t="shared" si="6"/>
        <v>9.166500000000001</v>
      </c>
      <c r="E34" s="379">
        <f t="shared" si="6"/>
        <v>10.521000000000001</v>
      </c>
      <c r="F34" s="379">
        <f t="shared" si="6"/>
        <v>13.272000000000002</v>
      </c>
      <c r="G34" s="379">
        <f t="shared" si="6"/>
        <v>15.928500000000001</v>
      </c>
      <c r="H34" s="379">
        <f t="shared" si="6"/>
        <v>16.726500000000001</v>
      </c>
      <c r="I34" s="379">
        <f t="shared" si="6"/>
        <v>17.566500000000001</v>
      </c>
      <c r="J34" s="379">
        <f t="shared" si="6"/>
        <v>18.448500000000003</v>
      </c>
      <c r="K34" s="379">
        <f t="shared" si="6"/>
        <v>19.362000000000002</v>
      </c>
      <c r="L34" s="379">
        <f t="shared" si="6"/>
        <v>20.338500000000003</v>
      </c>
      <c r="M34" s="126"/>
      <c r="N34" s="126"/>
      <c r="O34" s="126"/>
      <c r="P34" s="126"/>
      <c r="Q34" s="126"/>
      <c r="R34" s="126"/>
      <c r="S34" s="126"/>
      <c r="T34" s="126"/>
    </row>
    <row r="35" spans="1:20" ht="15.75" customHeight="1">
      <c r="A35" s="126"/>
      <c r="B35" s="126" t="s">
        <v>1202</v>
      </c>
      <c r="C35" s="384">
        <f t="shared" ref="C35:L35" si="7">C34*0.0595</f>
        <v>0.45794174999999998</v>
      </c>
      <c r="D35" s="384">
        <f t="shared" si="7"/>
        <v>0.54540675000000005</v>
      </c>
      <c r="E35" s="384">
        <f t="shared" si="7"/>
        <v>0.62599950000000004</v>
      </c>
      <c r="F35" s="384">
        <f t="shared" si="7"/>
        <v>0.78968400000000005</v>
      </c>
      <c r="G35" s="384">
        <f t="shared" si="7"/>
        <v>0.94774575000000005</v>
      </c>
      <c r="H35" s="384">
        <f t="shared" si="7"/>
        <v>0.99522675000000005</v>
      </c>
      <c r="I35" s="384">
        <f t="shared" si="7"/>
        <v>1.04520675</v>
      </c>
      <c r="J35" s="384">
        <f t="shared" si="7"/>
        <v>1.0976857500000001</v>
      </c>
      <c r="K35" s="384">
        <f t="shared" si="7"/>
        <v>1.152039</v>
      </c>
      <c r="L35" s="384">
        <f t="shared" si="7"/>
        <v>1.2101407500000001</v>
      </c>
      <c r="M35" s="126"/>
      <c r="N35" s="126"/>
      <c r="O35" s="126"/>
      <c r="P35" s="126"/>
      <c r="Q35" s="126"/>
      <c r="R35" s="126"/>
      <c r="S35" s="126"/>
      <c r="T35" s="126"/>
    </row>
    <row r="36" spans="1:20" ht="15.75" customHeight="1">
      <c r="A36" s="126"/>
      <c r="B36" s="126" t="s">
        <v>1203</v>
      </c>
      <c r="C36" s="379">
        <v>0.09</v>
      </c>
      <c r="D36" s="379">
        <v>0.09</v>
      </c>
      <c r="E36" s="379">
        <v>0.09</v>
      </c>
      <c r="F36" s="379">
        <v>0.09</v>
      </c>
      <c r="G36" s="379">
        <v>0.09</v>
      </c>
      <c r="H36" s="379">
        <v>0.09</v>
      </c>
      <c r="I36" s="379">
        <v>0.09</v>
      </c>
      <c r="J36" s="379">
        <v>0.09</v>
      </c>
      <c r="K36" s="379">
        <v>0.09</v>
      </c>
      <c r="L36" s="379">
        <v>0.09</v>
      </c>
      <c r="M36" s="126"/>
      <c r="N36" s="126"/>
      <c r="O36" s="126"/>
      <c r="P36" s="126"/>
      <c r="Q36" s="126"/>
      <c r="R36" s="126"/>
      <c r="S36" s="126"/>
      <c r="T36" s="126"/>
    </row>
    <row r="37" spans="1:20" ht="15.75" customHeight="1">
      <c r="A37" s="126"/>
      <c r="B37" s="162" t="s">
        <v>1204</v>
      </c>
      <c r="C37" s="385">
        <f t="shared" ref="C37:L63" si="8">C34*0.404-C35-C36</f>
        <v>2.5614442500000005</v>
      </c>
      <c r="D37" s="385">
        <f t="shared" si="8"/>
        <v>3.0678592500000006</v>
      </c>
      <c r="E37" s="385">
        <f t="shared" si="8"/>
        <v>3.5344845000000005</v>
      </c>
      <c r="F37" s="385">
        <f t="shared" si="8"/>
        <v>4.4822040000000012</v>
      </c>
      <c r="G37" s="385">
        <f t="shared" si="8"/>
        <v>5.3973682500000013</v>
      </c>
      <c r="H37" s="385">
        <f t="shared" si="8"/>
        <v>5.6722792500000008</v>
      </c>
      <c r="I37" s="385">
        <f t="shared" si="8"/>
        <v>5.9616592500000012</v>
      </c>
      <c r="J37" s="385">
        <f t="shared" si="8"/>
        <v>6.2655082500000017</v>
      </c>
      <c r="K37" s="385">
        <f t="shared" si="8"/>
        <v>6.5802090000000009</v>
      </c>
      <c r="L37" s="385">
        <f t="shared" si="8"/>
        <v>6.9166132500000019</v>
      </c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>
      <c r="A38" s="126"/>
      <c r="B38" s="126" t="s">
        <v>1205</v>
      </c>
      <c r="C38" s="150">
        <f t="shared" ref="C38:L64" si="9">C37/C34</f>
        <v>0.33280637302670052</v>
      </c>
      <c r="D38" s="150">
        <f t="shared" si="9"/>
        <v>0.33468163966617576</v>
      </c>
      <c r="E38" s="150">
        <f t="shared" si="9"/>
        <v>0.33594568006843456</v>
      </c>
      <c r="F38" s="150">
        <f t="shared" si="9"/>
        <v>0.33771880650994579</v>
      </c>
      <c r="G38" s="150">
        <f t="shared" si="9"/>
        <v>0.33884975044731147</v>
      </c>
      <c r="H38" s="150">
        <f t="shared" si="9"/>
        <v>0.33911931665321499</v>
      </c>
      <c r="I38" s="150">
        <f t="shared" si="9"/>
        <v>0.33937661173255917</v>
      </c>
      <c r="J38" s="150">
        <f t="shared" si="9"/>
        <v>0.3396215545979348</v>
      </c>
      <c r="K38" s="150">
        <f t="shared" si="9"/>
        <v>0.33985171986365048</v>
      </c>
      <c r="L38" s="150">
        <f t="shared" si="9"/>
        <v>0.34007489490375398</v>
      </c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>
      <c r="A39" s="126"/>
      <c r="B39" s="126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126"/>
      <c r="N39" s="126"/>
      <c r="O39" s="126"/>
      <c r="P39" s="126"/>
      <c r="Q39" s="126"/>
      <c r="R39" s="126"/>
      <c r="S39" s="126"/>
      <c r="T39" s="126"/>
    </row>
    <row r="40" spans="1:20" ht="15.75" customHeight="1">
      <c r="A40" s="126"/>
      <c r="B40" s="386" t="s">
        <v>1206</v>
      </c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126"/>
      <c r="N40" s="126"/>
      <c r="O40" s="126"/>
      <c r="P40" s="126"/>
      <c r="Q40" s="126"/>
      <c r="R40" s="126"/>
      <c r="S40" s="126"/>
      <c r="T40" s="126"/>
    </row>
    <row r="41" spans="1:20" ht="15.75" customHeight="1">
      <c r="A41" s="126"/>
      <c r="B41" s="126" t="s">
        <v>1201</v>
      </c>
      <c r="C41" s="379">
        <f t="shared" ref="C41:L41" si="10">C26*1.1</f>
        <v>8.0630000000000006</v>
      </c>
      <c r="D41" s="379">
        <f t="shared" si="10"/>
        <v>9.6030000000000015</v>
      </c>
      <c r="E41" s="379">
        <f t="shared" si="10"/>
        <v>11.022</v>
      </c>
      <c r="F41" s="379">
        <f t="shared" si="10"/>
        <v>13.904000000000002</v>
      </c>
      <c r="G41" s="379">
        <f t="shared" si="10"/>
        <v>16.687000000000001</v>
      </c>
      <c r="H41" s="379">
        <f t="shared" si="10"/>
        <v>17.523</v>
      </c>
      <c r="I41" s="379">
        <f t="shared" si="10"/>
        <v>18.403000000000002</v>
      </c>
      <c r="J41" s="379">
        <f t="shared" si="10"/>
        <v>19.327000000000002</v>
      </c>
      <c r="K41" s="379">
        <f t="shared" si="10"/>
        <v>20.284000000000002</v>
      </c>
      <c r="L41" s="379">
        <f t="shared" si="10"/>
        <v>21.307000000000002</v>
      </c>
      <c r="M41" s="126"/>
      <c r="N41" s="126"/>
      <c r="O41" s="126"/>
      <c r="P41" s="126"/>
      <c r="Q41" s="126"/>
      <c r="R41" s="126"/>
      <c r="S41" s="126"/>
      <c r="T41" s="126"/>
    </row>
    <row r="42" spans="1:20" ht="15.75" customHeight="1">
      <c r="A42" s="126"/>
      <c r="B42" s="126" t="s">
        <v>1207</v>
      </c>
      <c r="C42" s="384">
        <f t="shared" ref="C42:L42" si="11">C41*0.025</f>
        <v>0.20157500000000003</v>
      </c>
      <c r="D42" s="384">
        <f t="shared" si="11"/>
        <v>0.24007500000000004</v>
      </c>
      <c r="E42" s="384">
        <f t="shared" si="11"/>
        <v>0.27555000000000002</v>
      </c>
      <c r="F42" s="384">
        <f t="shared" si="11"/>
        <v>0.34760000000000008</v>
      </c>
      <c r="G42" s="384">
        <f t="shared" si="11"/>
        <v>0.41717500000000007</v>
      </c>
      <c r="H42" s="384">
        <f t="shared" si="11"/>
        <v>0.43807499999999999</v>
      </c>
      <c r="I42" s="384">
        <f t="shared" si="11"/>
        <v>0.46007500000000007</v>
      </c>
      <c r="J42" s="384">
        <f t="shared" si="11"/>
        <v>0.48317500000000008</v>
      </c>
      <c r="K42" s="384">
        <f t="shared" si="11"/>
        <v>0.50710000000000011</v>
      </c>
      <c r="L42" s="384">
        <f t="shared" si="11"/>
        <v>0.53267500000000012</v>
      </c>
      <c r="M42" s="126"/>
      <c r="N42" s="126"/>
      <c r="O42" s="126"/>
      <c r="P42" s="126"/>
      <c r="Q42" s="126"/>
      <c r="R42" s="126"/>
      <c r="S42" s="126"/>
      <c r="T42" s="126"/>
    </row>
    <row r="43" spans="1:20" ht="15.75" customHeight="1">
      <c r="A43" s="126"/>
      <c r="B43" s="126" t="s">
        <v>1208</v>
      </c>
      <c r="C43" s="384">
        <f t="shared" ref="C43:L53" si="12">C41*0.404*0.1</f>
        <v>0.32574520000000007</v>
      </c>
      <c r="D43" s="384">
        <f t="shared" si="12"/>
        <v>0.38796120000000012</v>
      </c>
      <c r="E43" s="384">
        <f t="shared" si="12"/>
        <v>0.4452888000000001</v>
      </c>
      <c r="F43" s="384">
        <f t="shared" si="12"/>
        <v>0.56172160000000015</v>
      </c>
      <c r="G43" s="384">
        <f t="shared" si="12"/>
        <v>0.67415480000000017</v>
      </c>
      <c r="H43" s="384">
        <f t="shared" si="12"/>
        <v>0.70792920000000015</v>
      </c>
      <c r="I43" s="384">
        <f t="shared" si="12"/>
        <v>0.74348120000000018</v>
      </c>
      <c r="J43" s="384">
        <f t="shared" si="12"/>
        <v>0.78081080000000025</v>
      </c>
      <c r="K43" s="384">
        <f t="shared" si="12"/>
        <v>0.81947360000000014</v>
      </c>
      <c r="L43" s="384">
        <f t="shared" si="12"/>
        <v>0.86080280000000009</v>
      </c>
      <c r="M43" s="126"/>
      <c r="N43" s="126"/>
      <c r="O43" s="126"/>
      <c r="P43" s="126"/>
      <c r="Q43" s="126"/>
      <c r="R43" s="126"/>
      <c r="S43" s="126"/>
      <c r="T43" s="126"/>
    </row>
    <row r="44" spans="1:20" ht="15.75" customHeight="1">
      <c r="A44" s="126"/>
      <c r="B44" s="126" t="s">
        <v>1209</v>
      </c>
      <c r="C44" s="379">
        <f t="shared" ref="C44:L44" si="13">C41*0.03</f>
        <v>0.24189000000000002</v>
      </c>
      <c r="D44" s="379">
        <f t="shared" si="13"/>
        <v>0.28809000000000001</v>
      </c>
      <c r="E44" s="379">
        <f t="shared" si="13"/>
        <v>0.33066000000000001</v>
      </c>
      <c r="F44" s="379">
        <f t="shared" si="13"/>
        <v>0.41712000000000005</v>
      </c>
      <c r="G44" s="379">
        <f t="shared" si="13"/>
        <v>0.50061</v>
      </c>
      <c r="H44" s="379">
        <f t="shared" si="13"/>
        <v>0.52568999999999999</v>
      </c>
      <c r="I44" s="379">
        <f t="shared" si="13"/>
        <v>0.55209000000000008</v>
      </c>
      <c r="J44" s="379">
        <f t="shared" si="13"/>
        <v>0.57981000000000005</v>
      </c>
      <c r="K44" s="379">
        <f t="shared" si="13"/>
        <v>0.60852000000000006</v>
      </c>
      <c r="L44" s="379">
        <f t="shared" si="13"/>
        <v>0.63921000000000006</v>
      </c>
      <c r="M44" s="126"/>
      <c r="N44" s="126"/>
      <c r="O44" s="126"/>
      <c r="P44" s="126"/>
      <c r="Q44" s="126"/>
      <c r="R44" s="126"/>
      <c r="S44" s="126"/>
      <c r="T44" s="126"/>
    </row>
    <row r="45" spans="1:20" ht="15.75" customHeight="1">
      <c r="A45" s="126"/>
      <c r="B45" s="126" t="s">
        <v>1210</v>
      </c>
      <c r="C45" s="379">
        <v>0.2</v>
      </c>
      <c r="D45" s="379">
        <v>0.2</v>
      </c>
      <c r="E45" s="379">
        <v>0.2</v>
      </c>
      <c r="F45" s="379">
        <v>0.2</v>
      </c>
      <c r="G45" s="379">
        <v>0.2</v>
      </c>
      <c r="H45" s="379">
        <v>0.2</v>
      </c>
      <c r="I45" s="379">
        <v>0.2</v>
      </c>
      <c r="J45" s="379">
        <v>0.2</v>
      </c>
      <c r="K45" s="379">
        <v>0.2</v>
      </c>
      <c r="L45" s="379">
        <v>0.2</v>
      </c>
      <c r="M45" s="126"/>
      <c r="N45" s="126"/>
      <c r="O45" s="126"/>
      <c r="P45" s="126"/>
      <c r="Q45" s="126"/>
      <c r="R45" s="126"/>
      <c r="S45" s="126"/>
      <c r="T45" s="126"/>
    </row>
    <row r="46" spans="1:20" ht="15.75" customHeight="1">
      <c r="A46" s="126"/>
      <c r="B46" s="126" t="s">
        <v>1211</v>
      </c>
      <c r="C46" s="384">
        <v>0.3</v>
      </c>
      <c r="D46" s="384">
        <v>0.3</v>
      </c>
      <c r="E46" s="384">
        <v>0.3</v>
      </c>
      <c r="F46" s="384">
        <v>0.3</v>
      </c>
      <c r="G46" s="384">
        <v>0.3</v>
      </c>
      <c r="H46" s="384">
        <v>0.3</v>
      </c>
      <c r="I46" s="384">
        <v>0.3</v>
      </c>
      <c r="J46" s="384">
        <v>0.3</v>
      </c>
      <c r="K46" s="384">
        <v>0.3</v>
      </c>
      <c r="L46" s="384">
        <v>0.3</v>
      </c>
      <c r="M46" s="126"/>
      <c r="N46" s="126"/>
      <c r="O46" s="126"/>
      <c r="P46" s="126"/>
      <c r="Q46" s="126"/>
      <c r="R46" s="126"/>
      <c r="S46" s="126"/>
      <c r="T46" s="126"/>
    </row>
    <row r="47" spans="1:20" ht="15.75" customHeight="1">
      <c r="A47" s="126"/>
      <c r="B47" s="162" t="s">
        <v>1212</v>
      </c>
      <c r="C47" s="385">
        <f t="shared" ref="C47:L47" si="14">C41*0.404-C42-C43-C44-C45-C46</f>
        <v>1.9882417999999997</v>
      </c>
      <c r="D47" s="385">
        <f t="shared" si="14"/>
        <v>2.4634858000000004</v>
      </c>
      <c r="E47" s="385">
        <f t="shared" si="14"/>
        <v>2.9013892000000006</v>
      </c>
      <c r="F47" s="385">
        <f t="shared" si="14"/>
        <v>3.790774400000001</v>
      </c>
      <c r="G47" s="385">
        <f t="shared" si="14"/>
        <v>4.6496082000000003</v>
      </c>
      <c r="H47" s="385">
        <f t="shared" si="14"/>
        <v>4.9075978000000005</v>
      </c>
      <c r="I47" s="385">
        <f t="shared" si="14"/>
        <v>5.1791658000000016</v>
      </c>
      <c r="J47" s="385">
        <f t="shared" si="14"/>
        <v>5.4643122000000011</v>
      </c>
      <c r="K47" s="385">
        <f t="shared" si="14"/>
        <v>5.7596423999999997</v>
      </c>
      <c r="L47" s="385">
        <f t="shared" si="14"/>
        <v>6.0753402000000012</v>
      </c>
      <c r="M47" s="126"/>
      <c r="N47" s="126"/>
      <c r="O47" s="126"/>
      <c r="P47" s="126"/>
      <c r="Q47" s="126"/>
      <c r="R47" s="126"/>
      <c r="S47" s="126"/>
      <c r="T47" s="126"/>
    </row>
    <row r="48" spans="1:20" ht="15.75" customHeight="1">
      <c r="A48" s="126"/>
      <c r="B48" s="126" t="s">
        <v>1205</v>
      </c>
      <c r="C48" s="150">
        <f t="shared" ref="C48:L48" si="15">C47/C41</f>
        <v>0.24658834180825989</v>
      </c>
      <c r="D48" s="150">
        <f t="shared" si="15"/>
        <v>0.25653293762365925</v>
      </c>
      <c r="E48" s="150">
        <f t="shared" si="15"/>
        <v>0.2632361821810924</v>
      </c>
      <c r="F48" s="150">
        <f t="shared" si="15"/>
        <v>0.27263912543153052</v>
      </c>
      <c r="G48" s="150">
        <f t="shared" si="15"/>
        <v>0.27863655540240906</v>
      </c>
      <c r="H48" s="150">
        <f t="shared" si="15"/>
        <v>0.28006607316098847</v>
      </c>
      <c r="I48" s="150">
        <f t="shared" si="15"/>
        <v>0.28143051676357123</v>
      </c>
      <c r="J48" s="150">
        <f t="shared" si="15"/>
        <v>0.2827294562011694</v>
      </c>
      <c r="K48" s="150">
        <f t="shared" si="15"/>
        <v>0.28395002957996446</v>
      </c>
      <c r="L48" s="150">
        <f t="shared" si="15"/>
        <v>0.28513353358051347</v>
      </c>
      <c r="M48" s="126"/>
      <c r="N48" s="126"/>
      <c r="O48" s="126"/>
      <c r="P48" s="126"/>
      <c r="Q48" s="126"/>
      <c r="R48" s="126"/>
      <c r="S48" s="126"/>
      <c r="T48" s="126"/>
    </row>
    <row r="49" spans="1:20" ht="15.75" customHeight="1">
      <c r="A49" s="126"/>
      <c r="B49" s="126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126"/>
      <c r="N49" s="126"/>
      <c r="O49" s="126"/>
      <c r="P49" s="126"/>
      <c r="Q49" s="126"/>
      <c r="R49" s="126"/>
      <c r="S49" s="126"/>
      <c r="T49" s="126"/>
    </row>
    <row r="50" spans="1:20" ht="15.75" customHeight="1">
      <c r="A50" s="126"/>
      <c r="B50" s="386" t="s">
        <v>1213</v>
      </c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126"/>
      <c r="N50" s="126"/>
      <c r="O50" s="126"/>
      <c r="P50" s="126"/>
      <c r="Q50" s="126"/>
      <c r="R50" s="126"/>
      <c r="S50" s="126"/>
      <c r="T50" s="126"/>
    </row>
    <row r="51" spans="1:20" ht="15.75" customHeight="1">
      <c r="A51" s="126"/>
      <c r="B51" s="126" t="s">
        <v>1214</v>
      </c>
      <c r="C51" s="379">
        <f t="shared" ref="C51:L51" si="16">C26*1.08</f>
        <v>7.9164000000000003</v>
      </c>
      <c r="D51" s="379">
        <f t="shared" si="16"/>
        <v>9.4284000000000017</v>
      </c>
      <c r="E51" s="379">
        <f t="shared" si="16"/>
        <v>10.8216</v>
      </c>
      <c r="F51" s="379">
        <f t="shared" si="16"/>
        <v>13.651200000000001</v>
      </c>
      <c r="G51" s="379">
        <f t="shared" si="16"/>
        <v>16.383600000000001</v>
      </c>
      <c r="H51" s="379">
        <f t="shared" si="16"/>
        <v>17.2044</v>
      </c>
      <c r="I51" s="379">
        <f t="shared" si="16"/>
        <v>18.0684</v>
      </c>
      <c r="J51" s="379">
        <f t="shared" si="16"/>
        <v>18.9756</v>
      </c>
      <c r="K51" s="379">
        <f t="shared" si="16"/>
        <v>19.915200000000002</v>
      </c>
      <c r="L51" s="379">
        <f t="shared" si="16"/>
        <v>20.919600000000003</v>
      </c>
      <c r="M51" s="126"/>
      <c r="N51" s="126"/>
      <c r="O51" s="126"/>
      <c r="P51" s="126"/>
      <c r="Q51" s="126"/>
      <c r="R51" s="126"/>
      <c r="S51" s="126"/>
      <c r="T51" s="126"/>
    </row>
    <row r="52" spans="1:20" ht="15.75" customHeight="1">
      <c r="A52" s="126"/>
      <c r="B52" s="126" t="s">
        <v>1215</v>
      </c>
      <c r="C52" s="384">
        <f t="shared" ref="C52:L52" si="17">C51*0.03</f>
        <v>0.23749200000000001</v>
      </c>
      <c r="D52" s="384">
        <f t="shared" si="17"/>
        <v>0.28285200000000005</v>
      </c>
      <c r="E52" s="384">
        <f t="shared" si="17"/>
        <v>0.32464799999999999</v>
      </c>
      <c r="F52" s="384">
        <f t="shared" si="17"/>
        <v>0.40953600000000001</v>
      </c>
      <c r="G52" s="384">
        <f t="shared" si="17"/>
        <v>0.491508</v>
      </c>
      <c r="H52" s="384">
        <f t="shared" si="17"/>
        <v>0.51613199999999992</v>
      </c>
      <c r="I52" s="384">
        <f t="shared" si="17"/>
        <v>0.54205199999999998</v>
      </c>
      <c r="J52" s="384">
        <f t="shared" si="17"/>
        <v>0.569268</v>
      </c>
      <c r="K52" s="384">
        <f t="shared" si="17"/>
        <v>0.5974560000000001</v>
      </c>
      <c r="L52" s="384">
        <f t="shared" si="17"/>
        <v>0.62758800000000003</v>
      </c>
      <c r="M52" s="126"/>
      <c r="N52" s="126"/>
      <c r="O52" s="126"/>
      <c r="P52" s="126"/>
      <c r="Q52" s="126"/>
      <c r="R52" s="126"/>
      <c r="S52" s="126"/>
      <c r="T52" s="126"/>
    </row>
    <row r="53" spans="1:20" ht="15.75" customHeight="1">
      <c r="A53" s="126"/>
      <c r="B53" s="126" t="s">
        <v>1216</v>
      </c>
      <c r="C53" s="379">
        <f t="shared" si="12"/>
        <v>0.31982256000000003</v>
      </c>
      <c r="D53" s="379">
        <f t="shared" si="12"/>
        <v>0.38090736000000014</v>
      </c>
      <c r="E53" s="379">
        <f t="shared" si="12"/>
        <v>0.43719264000000008</v>
      </c>
      <c r="F53" s="379">
        <f t="shared" si="12"/>
        <v>0.55150848000000019</v>
      </c>
      <c r="G53" s="379">
        <f t="shared" si="12"/>
        <v>0.66189744000000017</v>
      </c>
      <c r="H53" s="379">
        <f t="shared" si="12"/>
        <v>0.69505776000000008</v>
      </c>
      <c r="I53" s="379">
        <f t="shared" si="12"/>
        <v>0.72996336000000017</v>
      </c>
      <c r="J53" s="379">
        <f t="shared" si="12"/>
        <v>0.76661424000000011</v>
      </c>
      <c r="K53" s="379">
        <f t="shared" si="12"/>
        <v>0.80457408000000008</v>
      </c>
      <c r="L53" s="379">
        <f t="shared" si="12"/>
        <v>0.84515184000000021</v>
      </c>
      <c r="M53" s="126"/>
      <c r="N53" s="126"/>
      <c r="O53" s="126"/>
      <c r="P53" s="126"/>
      <c r="Q53" s="126"/>
      <c r="R53" s="126"/>
      <c r="S53" s="126"/>
      <c r="T53" s="126"/>
    </row>
    <row r="54" spans="1:20" ht="15.75" customHeight="1">
      <c r="A54" s="126"/>
      <c r="B54" s="162" t="s">
        <v>1217</v>
      </c>
      <c r="C54" s="385">
        <f t="shared" ref="C54:L54" si="18">C51*0.7*0.07</f>
        <v>0.38790360000000002</v>
      </c>
      <c r="D54" s="385">
        <f t="shared" si="18"/>
        <v>0.46199160000000011</v>
      </c>
      <c r="E54" s="385">
        <f t="shared" si="18"/>
        <v>0.53025840000000002</v>
      </c>
      <c r="F54" s="385">
        <f t="shared" si="18"/>
        <v>0.66890880000000008</v>
      </c>
      <c r="G54" s="385">
        <f t="shared" si="18"/>
        <v>0.80279640000000008</v>
      </c>
      <c r="H54" s="385">
        <f t="shared" si="18"/>
        <v>0.84301560000000009</v>
      </c>
      <c r="I54" s="385">
        <f t="shared" si="18"/>
        <v>0.88535160000000002</v>
      </c>
      <c r="J54" s="385">
        <f t="shared" si="18"/>
        <v>0.92980439999999998</v>
      </c>
      <c r="K54" s="385">
        <f t="shared" si="18"/>
        <v>0.97584480000000007</v>
      </c>
      <c r="L54" s="385">
        <f t="shared" si="18"/>
        <v>1.0250604000000001</v>
      </c>
      <c r="M54" s="126"/>
      <c r="N54" s="126"/>
      <c r="O54" s="126"/>
      <c r="P54" s="126"/>
      <c r="Q54" s="126"/>
      <c r="R54" s="126"/>
      <c r="S54" s="126"/>
      <c r="T54" s="126"/>
    </row>
    <row r="55" spans="1:20" ht="15.75" customHeight="1">
      <c r="A55" s="126"/>
      <c r="B55" s="126" t="s">
        <v>1218</v>
      </c>
      <c r="C55" s="379">
        <v>0.57499999999999996</v>
      </c>
      <c r="D55" s="379">
        <v>0.57499999999999996</v>
      </c>
      <c r="E55" s="379">
        <v>0.57499999999999996</v>
      </c>
      <c r="F55" s="379">
        <v>0.57499999999999996</v>
      </c>
      <c r="G55" s="379">
        <v>0.57499999999999996</v>
      </c>
      <c r="H55" s="379">
        <v>0.57499999999999996</v>
      </c>
      <c r="I55" s="379">
        <v>0.57499999999999996</v>
      </c>
      <c r="J55" s="379">
        <v>0.57499999999999996</v>
      </c>
      <c r="K55" s="379">
        <v>0.57499999999999996</v>
      </c>
      <c r="L55" s="379">
        <v>0.57499999999999996</v>
      </c>
      <c r="M55" s="126"/>
      <c r="N55" s="126"/>
      <c r="O55" s="126"/>
      <c r="P55" s="126"/>
      <c r="Q55" s="126"/>
      <c r="R55" s="126"/>
      <c r="S55" s="126"/>
      <c r="T55" s="126"/>
    </row>
    <row r="56" spans="1:20" ht="15.75" customHeight="1">
      <c r="A56" s="126"/>
      <c r="B56" s="162" t="s">
        <v>1219</v>
      </c>
      <c r="C56" s="379">
        <f t="shared" ref="C56:L56" si="19">C51*0.404-C52-C53-C54-C55</f>
        <v>1.6780074400000002</v>
      </c>
      <c r="D56" s="379">
        <f t="shared" si="19"/>
        <v>2.1083226400000008</v>
      </c>
      <c r="E56" s="379">
        <f t="shared" si="19"/>
        <v>2.5048273600000002</v>
      </c>
      <c r="F56" s="379">
        <f t="shared" si="19"/>
        <v>3.3101315200000014</v>
      </c>
      <c r="G56" s="379">
        <f t="shared" si="19"/>
        <v>4.0877725600000003</v>
      </c>
      <c r="H56" s="379">
        <f t="shared" si="19"/>
        <v>4.3213722399999996</v>
      </c>
      <c r="I56" s="379">
        <f t="shared" si="19"/>
        <v>4.5672666400000006</v>
      </c>
      <c r="J56" s="379">
        <f t="shared" si="19"/>
        <v>4.8254557600000005</v>
      </c>
      <c r="K56" s="379">
        <f t="shared" si="19"/>
        <v>5.0928659200000004</v>
      </c>
      <c r="L56" s="379">
        <f t="shared" si="19"/>
        <v>5.37871816</v>
      </c>
      <c r="M56" s="126"/>
      <c r="N56" s="126"/>
      <c r="O56" s="126"/>
      <c r="P56" s="126"/>
      <c r="Q56" s="126"/>
      <c r="R56" s="126"/>
      <c r="S56" s="126"/>
      <c r="T56" s="126"/>
    </row>
    <row r="57" spans="1:20" ht="15.75" customHeight="1">
      <c r="A57" s="126"/>
      <c r="B57" s="158" t="s">
        <v>1205</v>
      </c>
      <c r="C57" s="387">
        <f t="shared" ref="C57:L57" si="20">C56/C51</f>
        <v>0.21196597443282303</v>
      </c>
      <c r="D57" s="387">
        <f t="shared" si="20"/>
        <v>0.22361404267956392</v>
      </c>
      <c r="E57" s="387">
        <f t="shared" si="20"/>
        <v>0.23146552820285357</v>
      </c>
      <c r="F57" s="387">
        <f t="shared" si="20"/>
        <v>0.24247916080637608</v>
      </c>
      <c r="G57" s="387">
        <f t="shared" si="20"/>
        <v>0.24950392831856247</v>
      </c>
      <c r="H57" s="150">
        <f t="shared" si="20"/>
        <v>0.2511783171746762</v>
      </c>
      <c r="I57" s="150">
        <f t="shared" si="20"/>
        <v>0.25277648491288662</v>
      </c>
      <c r="J57" s="150">
        <f t="shared" si="20"/>
        <v>0.25429792786525857</v>
      </c>
      <c r="K57" s="150">
        <f t="shared" si="20"/>
        <v>0.25572758094319914</v>
      </c>
      <c r="L57" s="150">
        <f t="shared" si="20"/>
        <v>0.25711381479569395</v>
      </c>
      <c r="M57" s="126"/>
      <c r="N57" s="126"/>
      <c r="O57" s="126"/>
      <c r="P57" s="126"/>
      <c r="Q57" s="126"/>
      <c r="R57" s="126"/>
      <c r="S57" s="126"/>
      <c r="T57" s="126"/>
    </row>
    <row r="58" spans="1:20" ht="15.75" customHeight="1">
      <c r="A58" s="126"/>
      <c r="B58" s="158"/>
      <c r="C58" s="388"/>
      <c r="D58" s="388"/>
      <c r="E58" s="388"/>
      <c r="F58" s="388"/>
      <c r="G58" s="388"/>
      <c r="H58" s="379"/>
      <c r="I58" s="379"/>
      <c r="J58" s="379"/>
      <c r="K58" s="379"/>
      <c r="L58" s="379"/>
      <c r="M58" s="126"/>
      <c r="N58" s="126"/>
      <c r="O58" s="126"/>
      <c r="P58" s="126"/>
      <c r="Q58" s="126"/>
      <c r="R58" s="126"/>
      <c r="S58" s="126"/>
      <c r="T58" s="126"/>
    </row>
    <row r="59" spans="1:20" ht="15.75" customHeight="1">
      <c r="A59" s="126"/>
      <c r="B59" s="389" t="s">
        <v>1220</v>
      </c>
      <c r="C59" s="390"/>
      <c r="D59" s="390"/>
      <c r="E59" s="390"/>
      <c r="F59" s="390"/>
      <c r="G59" s="390"/>
      <c r="H59" s="390"/>
      <c r="I59" s="390"/>
      <c r="J59" s="390"/>
      <c r="K59" s="390"/>
      <c r="L59" s="390"/>
      <c r="M59" s="126"/>
      <c r="N59" s="126"/>
      <c r="O59" s="126"/>
      <c r="P59" s="126"/>
      <c r="Q59" s="126"/>
      <c r="R59" s="126"/>
      <c r="S59" s="126"/>
      <c r="T59" s="126"/>
    </row>
    <row r="60" spans="1:20" ht="15.75" customHeight="1">
      <c r="A60" s="126"/>
      <c r="B60" s="158" t="s">
        <v>1221</v>
      </c>
      <c r="C60" s="388">
        <f t="shared" ref="C60:L60" si="21">C26*0.9</f>
        <v>6.5970000000000004</v>
      </c>
      <c r="D60" s="388">
        <f t="shared" si="21"/>
        <v>7.8570000000000002</v>
      </c>
      <c r="E60" s="388">
        <f t="shared" si="21"/>
        <v>9.0180000000000007</v>
      </c>
      <c r="F60" s="388">
        <f t="shared" si="21"/>
        <v>11.376000000000001</v>
      </c>
      <c r="G60" s="388">
        <f t="shared" si="21"/>
        <v>13.653</v>
      </c>
      <c r="H60" s="379">
        <f t="shared" si="21"/>
        <v>14.337</v>
      </c>
      <c r="I60" s="379">
        <f t="shared" si="21"/>
        <v>15.057</v>
      </c>
      <c r="J60" s="379">
        <f t="shared" si="21"/>
        <v>15.813000000000001</v>
      </c>
      <c r="K60" s="379">
        <f t="shared" si="21"/>
        <v>16.596</v>
      </c>
      <c r="L60" s="379">
        <f t="shared" si="21"/>
        <v>17.433</v>
      </c>
      <c r="M60" s="126"/>
      <c r="N60" s="126"/>
      <c r="O60" s="126"/>
      <c r="P60" s="126"/>
      <c r="Q60" s="126"/>
      <c r="R60" s="126"/>
      <c r="S60" s="126"/>
      <c r="T60" s="126"/>
    </row>
    <row r="61" spans="1:20" ht="15.75" customHeight="1">
      <c r="A61" s="126"/>
      <c r="B61" s="158" t="s">
        <v>1222</v>
      </c>
      <c r="C61" s="388">
        <f t="shared" ref="C61:L61" si="22">C60*0.045</f>
        <v>0.29686499999999999</v>
      </c>
      <c r="D61" s="388">
        <f t="shared" si="22"/>
        <v>0.35356500000000002</v>
      </c>
      <c r="E61" s="388">
        <f t="shared" si="22"/>
        <v>0.40581</v>
      </c>
      <c r="F61" s="388">
        <f t="shared" si="22"/>
        <v>0.51192000000000004</v>
      </c>
      <c r="G61" s="388">
        <f t="shared" si="22"/>
        <v>0.61438499999999996</v>
      </c>
      <c r="H61" s="379">
        <f t="shared" si="22"/>
        <v>0.64516499999999999</v>
      </c>
      <c r="I61" s="379">
        <f t="shared" si="22"/>
        <v>0.67756499999999997</v>
      </c>
      <c r="J61" s="379">
        <f t="shared" si="22"/>
        <v>0.71158500000000002</v>
      </c>
      <c r="K61" s="379">
        <f t="shared" si="22"/>
        <v>0.74681999999999993</v>
      </c>
      <c r="L61" s="379">
        <f t="shared" si="22"/>
        <v>0.78448499999999999</v>
      </c>
      <c r="M61" s="126"/>
      <c r="N61" s="126"/>
      <c r="O61" s="126"/>
      <c r="P61" s="126"/>
      <c r="Q61" s="126"/>
      <c r="R61" s="126"/>
      <c r="S61" s="126"/>
      <c r="T61" s="126"/>
    </row>
    <row r="62" spans="1:20" ht="15.75" customHeight="1">
      <c r="A62" s="126"/>
      <c r="B62" s="158" t="s">
        <v>1223</v>
      </c>
      <c r="C62" s="388">
        <v>4.4999999999999998E-2</v>
      </c>
      <c r="D62" s="388">
        <v>4.4999999999999998E-2</v>
      </c>
      <c r="E62" s="388">
        <v>4.4999999999999998E-2</v>
      </c>
      <c r="F62" s="388">
        <v>4.4999999999999998E-2</v>
      </c>
      <c r="G62" s="388">
        <v>4.4999999999999998E-2</v>
      </c>
      <c r="H62" s="379">
        <v>4.4999999999999998E-2</v>
      </c>
      <c r="I62" s="379">
        <v>4.4999999999999998E-2</v>
      </c>
      <c r="J62" s="379">
        <v>4.4999999999999998E-2</v>
      </c>
      <c r="K62" s="379">
        <v>4.4999999999999998E-2</v>
      </c>
      <c r="L62" s="379">
        <v>4.4999999999999998E-2</v>
      </c>
      <c r="M62" s="126"/>
      <c r="N62" s="126"/>
      <c r="O62" s="126"/>
      <c r="P62" s="126"/>
      <c r="Q62" s="126"/>
      <c r="R62" s="126"/>
      <c r="S62" s="126"/>
      <c r="T62" s="126"/>
    </row>
    <row r="63" spans="1:20" ht="15.75" customHeight="1">
      <c r="A63" s="126"/>
      <c r="B63" s="158" t="s">
        <v>1224</v>
      </c>
      <c r="C63" s="388">
        <f t="shared" si="8"/>
        <v>2.3233230000000007</v>
      </c>
      <c r="D63" s="388">
        <f t="shared" si="8"/>
        <v>2.7756630000000002</v>
      </c>
      <c r="E63" s="388">
        <f t="shared" si="8"/>
        <v>3.1924620000000008</v>
      </c>
      <c r="F63" s="388">
        <f t="shared" si="8"/>
        <v>4.038984000000001</v>
      </c>
      <c r="G63" s="388">
        <f t="shared" si="8"/>
        <v>4.856427</v>
      </c>
      <c r="H63" s="379">
        <f t="shared" si="8"/>
        <v>5.1019830000000006</v>
      </c>
      <c r="I63" s="379">
        <f t="shared" si="8"/>
        <v>5.3604630000000011</v>
      </c>
      <c r="J63" s="379">
        <f t="shared" si="8"/>
        <v>5.6318670000000006</v>
      </c>
      <c r="K63" s="379">
        <f t="shared" si="8"/>
        <v>5.9129640000000006</v>
      </c>
      <c r="L63" s="379">
        <f t="shared" si="8"/>
        <v>6.2134470000000004</v>
      </c>
      <c r="M63" s="126"/>
      <c r="N63" s="126"/>
      <c r="O63" s="126"/>
      <c r="P63" s="126"/>
      <c r="Q63" s="126"/>
      <c r="R63" s="126"/>
      <c r="S63" s="126"/>
      <c r="T63" s="126"/>
    </row>
    <row r="64" spans="1:20" ht="15.75" customHeight="1">
      <c r="A64" s="126"/>
      <c r="B64" s="158" t="s">
        <v>1205</v>
      </c>
      <c r="C64" s="387">
        <f t="shared" si="9"/>
        <v>0.35217871759890867</v>
      </c>
      <c r="D64" s="387">
        <f t="shared" si="9"/>
        <v>0.35327262313860253</v>
      </c>
      <c r="E64" s="387">
        <f t="shared" si="9"/>
        <v>0.35400998003992024</v>
      </c>
      <c r="F64" s="387">
        <f t="shared" si="9"/>
        <v>0.35504430379746843</v>
      </c>
      <c r="G64" s="387">
        <f t="shared" si="9"/>
        <v>0.35570402109426497</v>
      </c>
      <c r="H64" s="150">
        <f t="shared" si="9"/>
        <v>0.35586126804770879</v>
      </c>
      <c r="I64" s="150">
        <f t="shared" si="9"/>
        <v>0.35601135684399288</v>
      </c>
      <c r="J64" s="150">
        <f t="shared" si="9"/>
        <v>0.35615424018212866</v>
      </c>
      <c r="K64" s="150">
        <f t="shared" si="9"/>
        <v>0.35628850325379613</v>
      </c>
      <c r="L64" s="150">
        <f t="shared" si="9"/>
        <v>0.35641868869385651</v>
      </c>
      <c r="M64" s="126"/>
      <c r="N64" s="126"/>
      <c r="O64" s="126"/>
      <c r="P64" s="126"/>
      <c r="Q64" s="126"/>
      <c r="R64" s="126"/>
      <c r="S64" s="126"/>
      <c r="T64" s="126"/>
    </row>
    <row r="65" spans="1:20" ht="16" customHeight="1">
      <c r="A65" s="126"/>
      <c r="B65" s="158"/>
      <c r="C65" s="387"/>
      <c r="D65" s="387"/>
      <c r="E65" s="387"/>
      <c r="F65" s="387"/>
      <c r="G65" s="387"/>
      <c r="H65" s="150"/>
      <c r="I65" s="150"/>
      <c r="J65" s="150"/>
      <c r="K65" s="150"/>
      <c r="L65" s="150"/>
      <c r="M65" s="126"/>
      <c r="N65" s="126"/>
      <c r="O65" s="126"/>
      <c r="P65" s="126"/>
      <c r="Q65" s="126"/>
      <c r="R65" s="126"/>
      <c r="S65" s="126"/>
      <c r="T65" s="126"/>
    </row>
    <row r="66" spans="1:20" ht="16" customHeight="1">
      <c r="A66" s="126"/>
      <c r="B66" s="158"/>
      <c r="C66" s="387"/>
      <c r="D66" s="387"/>
      <c r="E66" s="387"/>
      <c r="F66" s="387"/>
      <c r="G66" s="387"/>
      <c r="H66" s="150"/>
      <c r="I66" s="150"/>
      <c r="J66" s="150"/>
      <c r="K66" s="150"/>
      <c r="L66" s="150"/>
      <c r="M66" s="126"/>
      <c r="N66" s="126"/>
      <c r="O66" s="126"/>
      <c r="P66" s="126"/>
      <c r="Q66" s="126"/>
      <c r="R66" s="126"/>
      <c r="S66" s="126"/>
      <c r="T66" s="126"/>
    </row>
    <row r="67" spans="1:20" ht="16" customHeight="1">
      <c r="A67" s="126"/>
      <c r="B67" s="158"/>
      <c r="C67" s="387"/>
      <c r="D67" s="387"/>
      <c r="E67" s="387"/>
      <c r="F67" s="387"/>
      <c r="G67" s="387"/>
      <c r="H67" s="150"/>
      <c r="I67" s="150"/>
      <c r="J67" s="150"/>
      <c r="K67" s="150"/>
      <c r="L67" s="150"/>
      <c r="M67" s="126"/>
      <c r="N67" s="126"/>
      <c r="O67" s="126"/>
      <c r="P67" s="126"/>
      <c r="Q67" s="126"/>
      <c r="R67" s="126"/>
      <c r="S67" s="126"/>
      <c r="T67" s="126"/>
    </row>
    <row r="68" spans="1:20" ht="16" customHeight="1">
      <c r="A68" s="126"/>
      <c r="B68" s="158"/>
      <c r="C68" s="387"/>
      <c r="D68" s="387"/>
      <c r="E68" s="387"/>
      <c r="F68" s="387"/>
      <c r="G68" s="387"/>
      <c r="H68" s="150"/>
      <c r="I68" s="150"/>
      <c r="J68" s="150"/>
      <c r="K68" s="150"/>
      <c r="L68" s="150"/>
      <c r="M68" s="126"/>
      <c r="N68" s="126"/>
      <c r="O68" s="126"/>
      <c r="P68" s="126"/>
      <c r="Q68" s="126"/>
      <c r="R68" s="126"/>
      <c r="S68" s="126"/>
      <c r="T68" s="126"/>
    </row>
    <row r="69" spans="1:20" ht="16" customHeight="1">
      <c r="A69" s="126"/>
      <c r="B69" s="158"/>
      <c r="C69" s="387"/>
      <c r="D69" s="387"/>
      <c r="E69" s="387"/>
      <c r="F69" s="387"/>
      <c r="G69" s="387"/>
      <c r="H69" s="150"/>
      <c r="I69" s="150"/>
      <c r="J69" s="150"/>
      <c r="K69" s="150"/>
      <c r="L69" s="150"/>
      <c r="M69" s="126"/>
      <c r="N69" s="126"/>
      <c r="O69" s="126"/>
      <c r="P69" s="126"/>
      <c r="Q69" s="126"/>
      <c r="R69" s="126"/>
      <c r="S69" s="126"/>
      <c r="T69" s="126"/>
    </row>
    <row r="70" spans="1:20" ht="18" customHeight="1">
      <c r="A70" s="126"/>
      <c r="B70" s="391" t="s">
        <v>16</v>
      </c>
      <c r="C70" s="391" t="s">
        <v>1225</v>
      </c>
      <c r="D70" s="391" t="s">
        <v>1226</v>
      </c>
      <c r="E70" s="391" t="s">
        <v>1227</v>
      </c>
      <c r="F70" s="391" t="s">
        <v>1228</v>
      </c>
      <c r="G70" s="391" t="s">
        <v>1229</v>
      </c>
      <c r="H70" s="391" t="s">
        <v>1230</v>
      </c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</row>
    <row r="71" spans="1:20" ht="18" customHeight="1">
      <c r="A71" s="126"/>
      <c r="B71" s="149" t="s">
        <v>1231</v>
      </c>
      <c r="C71" s="392">
        <f>SUM(C31:L31)</f>
        <v>57.33972</v>
      </c>
      <c r="D71" s="392">
        <f>SUM(C37:L37)</f>
        <v>50.43962925000001</v>
      </c>
      <c r="E71" s="392">
        <f>SUM(C47:L47)</f>
        <v>43.179557800000005</v>
      </c>
      <c r="F71" s="392">
        <f>SUM(C54:L54)</f>
        <v>7.5109356000000007</v>
      </c>
      <c r="G71" s="392">
        <f>SUM(C63:L63)</f>
        <v>45.40758300000001</v>
      </c>
      <c r="H71" s="132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</row>
    <row r="72" spans="1:20" ht="18" customHeight="1">
      <c r="A72" s="126"/>
      <c r="B72" s="149" t="s">
        <v>1232</v>
      </c>
      <c r="C72" s="393">
        <v>0</v>
      </c>
      <c r="D72" s="394">
        <f>SUM(C35:L35)+SUM(C36:L36)</f>
        <v>9.7670767500000011</v>
      </c>
      <c r="E72" s="394">
        <f>SUM(C42:L42)+SUM(C43:L43)+SUM(C44:L44)+SUM(C45:L45)+SUM(C46:L46)</f>
        <v>19.894134200000003</v>
      </c>
      <c r="F72" s="394">
        <f>SUM(C52:L52)+SUM(C53:L53)+SUM(C54:L54)+SUM(C55:L55)</f>
        <v>24.052157360000002</v>
      </c>
      <c r="G72" s="392">
        <f>SUM(C61:L61)+SUM(C62:L62)</f>
        <v>6.1981650000000004</v>
      </c>
      <c r="H72" s="132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</row>
    <row r="73" spans="1:20" ht="18" customHeight="1">
      <c r="A73" s="126"/>
      <c r="B73" s="149" t="s">
        <v>550</v>
      </c>
      <c r="C73" s="392">
        <f>L31</f>
        <v>7.8254800000000007</v>
      </c>
      <c r="D73" s="392">
        <f>L37</f>
        <v>6.9166132500000019</v>
      </c>
      <c r="E73" s="392">
        <f>L47</f>
        <v>6.0753402000000012</v>
      </c>
      <c r="F73" s="392">
        <f>L56</f>
        <v>5.37871816</v>
      </c>
      <c r="G73" s="392">
        <f>L63</f>
        <v>6.2134470000000004</v>
      </c>
      <c r="H73" s="132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</row>
    <row r="74" spans="1:20" ht="18" customHeight="1">
      <c r="A74" s="126"/>
      <c r="B74" s="149" t="s">
        <v>1233</v>
      </c>
      <c r="C74" s="392">
        <f t="shared" ref="C74:G74" si="23">C73*12</f>
        <v>93.905760000000015</v>
      </c>
      <c r="D74" s="392">
        <f t="shared" si="23"/>
        <v>82.999359000000027</v>
      </c>
      <c r="E74" s="392">
        <f t="shared" si="23"/>
        <v>72.904082400000021</v>
      </c>
      <c r="F74" s="392">
        <f t="shared" si="23"/>
        <v>64.544617920000007</v>
      </c>
      <c r="G74" s="392">
        <f t="shared" si="23"/>
        <v>74.561363999999998</v>
      </c>
      <c r="H74" s="132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</row>
    <row r="75" spans="1:20" ht="18" customHeight="1">
      <c r="A75" s="126"/>
      <c r="B75" s="149" t="s">
        <v>1234</v>
      </c>
      <c r="C75" s="392">
        <v>43</v>
      </c>
      <c r="D75" s="392">
        <v>43.9</v>
      </c>
      <c r="E75" s="392">
        <v>45</v>
      </c>
      <c r="F75" s="392">
        <v>45.75</v>
      </c>
      <c r="G75" s="392">
        <v>43.45</v>
      </c>
      <c r="H75" s="132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</row>
    <row r="76" spans="1:20" ht="18" customHeight="1">
      <c r="A76" s="126"/>
      <c r="B76" s="245"/>
      <c r="C76" s="132"/>
      <c r="D76" s="132"/>
      <c r="E76" s="132"/>
      <c r="F76" s="132"/>
      <c r="G76" s="132"/>
      <c r="H76" s="132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</row>
    <row r="77" spans="1:20" ht="18" customHeight="1">
      <c r="A77" s="126"/>
      <c r="B77" s="395" t="s">
        <v>1235</v>
      </c>
      <c r="C77" s="396">
        <f>IRR(P5:Z5)</f>
        <v>0.15732336223750676</v>
      </c>
      <c r="D77" s="396">
        <f>IRR(P6:Z6)</f>
        <v>0.13395130831883728</v>
      </c>
      <c r="E77" s="397">
        <f>IRR(P7:Z7)</f>
        <v>0.10816813199397823</v>
      </c>
      <c r="F77" s="397">
        <f>IRR(P8:Z8)</f>
        <v>8.7534693716700307E-2</v>
      </c>
      <c r="G77" s="398">
        <f>IRR(P9:Z9)</f>
        <v>0.11907840428473349</v>
      </c>
      <c r="H77" s="399">
        <v>0.12</v>
      </c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</row>
    <row r="78" spans="1:20" ht="18" customHeight="1">
      <c r="A78" s="126"/>
      <c r="B78" s="149" t="s">
        <v>546</v>
      </c>
      <c r="C78" s="400">
        <f>NPV(0.12,Q5:Z5)+P5</f>
        <v>12.543690086386313</v>
      </c>
      <c r="D78" s="401">
        <f>NPV(0.12,Q6:Z6)+P6</f>
        <v>4.5418406960882365</v>
      </c>
      <c r="E78" s="401">
        <f>NPV(0.12,Q7:Z7)+P7</f>
        <v>-3.7482320895225598</v>
      </c>
      <c r="F78" s="401">
        <f>NPV(0.12,Q8:Z8)+P8</f>
        <v>-9.9529630949921142</v>
      </c>
      <c r="G78" s="402">
        <f>NPV(0.12,Q9:Z9)+P9</f>
        <v>-0.28639046341943697</v>
      </c>
      <c r="H78" s="132" t="s">
        <v>978</v>
      </c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</row>
    <row r="79" spans="1:20" ht="18" customHeight="1">
      <c r="A79" s="126"/>
      <c r="B79" s="149" t="s">
        <v>49</v>
      </c>
      <c r="C79" s="403">
        <f>SUM(Q5:Z5)/(-P5)</f>
        <v>3.3475693023255819</v>
      </c>
      <c r="D79" s="404">
        <f>SUM(Q6:Z6)/(-P6)</f>
        <v>2.8733254726651491</v>
      </c>
      <c r="E79" s="404">
        <f>SUM(Q7:Z7)/(-P7)</f>
        <v>2.4174142266666672</v>
      </c>
      <c r="F79" s="404">
        <f>SUM(Q8:Z8)/(-P8)</f>
        <v>2.0791116537704921</v>
      </c>
      <c r="G79" s="405">
        <f>SUM(Q9:Z9)/(-P9)</f>
        <v>2.5930712773302647</v>
      </c>
      <c r="H79" s="132" t="s">
        <v>976</v>
      </c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</row>
    <row r="80" spans="1:20" ht="18" customHeight="1">
      <c r="A80" s="126"/>
      <c r="B80" s="149" t="s">
        <v>1236</v>
      </c>
      <c r="C80" s="406" t="s">
        <v>327</v>
      </c>
      <c r="D80" s="407">
        <f>D77-C77</f>
        <v>-2.3372053918669478E-2</v>
      </c>
      <c r="E80" s="407">
        <f>E77-C77</f>
        <v>-4.9155230243528525E-2</v>
      </c>
      <c r="F80" s="407">
        <f>F77-C77</f>
        <v>-6.9788668520806452E-2</v>
      </c>
      <c r="G80" s="407">
        <f>G77-C77</f>
        <v>-3.8244957952773273E-2</v>
      </c>
      <c r="H80" s="132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</row>
    <row r="81" spans="1:20" ht="18" customHeight="1">
      <c r="A81" s="126"/>
      <c r="B81" s="149" t="s">
        <v>1237</v>
      </c>
      <c r="C81" s="370" t="str">
        <f t="shared" ref="C81:G81" si="24">IF(C77&gt;=0.12,"✓ YES","✗ NO")</f>
        <v>✓ YES</v>
      </c>
      <c r="D81" s="408" t="str">
        <f t="shared" si="24"/>
        <v>✓ YES</v>
      </c>
      <c r="E81" s="409" t="str">
        <f t="shared" si="24"/>
        <v>✗ NO</v>
      </c>
      <c r="F81" s="409" t="str">
        <f t="shared" si="24"/>
        <v>✗ NO</v>
      </c>
      <c r="G81" s="374" t="str">
        <f t="shared" si="24"/>
        <v>✗ NO</v>
      </c>
      <c r="H81" s="132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</row>
    <row r="82" spans="1:20" ht="16" customHeight="1">
      <c r="A82" s="126"/>
      <c r="B82" s="162" t="s">
        <v>387</v>
      </c>
      <c r="C82" s="126" t="str">
        <f t="shared" ref="C82:F82" si="25">IF(C77&gt;0.12,"✓ YES","✗ NO")</f>
        <v>✓ YES</v>
      </c>
      <c r="D82" s="126" t="str">
        <f t="shared" si="25"/>
        <v>✓ YES</v>
      </c>
      <c r="E82" s="126" t="str">
        <f t="shared" si="25"/>
        <v>✗ NO</v>
      </c>
      <c r="F82" s="126" t="str">
        <f t="shared" si="25"/>
        <v>✗ NO</v>
      </c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</row>
    <row r="83" spans="1:20" ht="17.25" customHeight="1">
      <c r="A83" s="126"/>
      <c r="B83" s="375" t="s">
        <v>1238</v>
      </c>
      <c r="C83" s="376"/>
      <c r="D83" s="376"/>
      <c r="E83" s="376"/>
      <c r="F83" s="376"/>
      <c r="G83" s="37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</row>
    <row r="84" spans="1:20" ht="32.25" customHeight="1">
      <c r="A84" s="126"/>
      <c r="B84" s="239" t="s">
        <v>1239</v>
      </c>
      <c r="C84" s="239" t="s">
        <v>1225</v>
      </c>
      <c r="D84" s="239" t="s">
        <v>1226</v>
      </c>
      <c r="E84" s="239" t="s">
        <v>1240</v>
      </c>
      <c r="F84" s="239" t="s">
        <v>1241</v>
      </c>
      <c r="G84" s="239" t="s">
        <v>1242</v>
      </c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</row>
    <row r="85" spans="1:20" ht="16" customHeight="1">
      <c r="A85" s="126"/>
      <c r="B85" s="410" t="s">
        <v>1243</v>
      </c>
      <c r="C85" s="367"/>
      <c r="D85" s="411"/>
      <c r="E85" s="411"/>
      <c r="F85" s="411"/>
      <c r="G85" s="411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</row>
    <row r="86" spans="1:20" ht="84.75" customHeight="1">
      <c r="A86" s="126"/>
      <c r="B86" s="373" t="s">
        <v>1244</v>
      </c>
      <c r="C86" s="367" t="s">
        <v>1245</v>
      </c>
      <c r="D86" s="132" t="s">
        <v>1246</v>
      </c>
      <c r="E86" s="132" t="s">
        <v>1247</v>
      </c>
      <c r="F86" s="132" t="s">
        <v>1248</v>
      </c>
      <c r="G86" s="132" t="s">
        <v>1249</v>
      </c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</row>
    <row r="87" spans="1:20" ht="84.75" customHeight="1">
      <c r="A87" s="126"/>
      <c r="B87" s="373" t="s">
        <v>1250</v>
      </c>
      <c r="C87" s="367" t="s">
        <v>1251</v>
      </c>
      <c r="D87" s="132" t="s">
        <v>1252</v>
      </c>
      <c r="E87" s="132" t="s">
        <v>1253</v>
      </c>
      <c r="F87" s="132" t="s">
        <v>1254</v>
      </c>
      <c r="G87" s="132" t="s">
        <v>1255</v>
      </c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</row>
    <row r="88" spans="1:20" ht="84.75" customHeight="1">
      <c r="A88" s="126"/>
      <c r="B88" s="373" t="s">
        <v>1256</v>
      </c>
      <c r="C88" s="367" t="s">
        <v>1257</v>
      </c>
      <c r="D88" s="132" t="s">
        <v>1258</v>
      </c>
      <c r="E88" s="374" t="s">
        <v>1259</v>
      </c>
      <c r="F88" s="374" t="s">
        <v>1260</v>
      </c>
      <c r="G88" s="132" t="s">
        <v>1261</v>
      </c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</row>
    <row r="89" spans="1:20" ht="16" customHeight="1">
      <c r="A89" s="126"/>
      <c r="B89" s="412" t="s">
        <v>1262</v>
      </c>
      <c r="C89" s="367"/>
      <c r="D89" s="413"/>
      <c r="E89" s="413"/>
      <c r="F89" s="413"/>
      <c r="G89" s="413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</row>
    <row r="90" spans="1:20" ht="224.25" customHeight="1">
      <c r="A90" s="126"/>
      <c r="B90" s="373" t="s">
        <v>1263</v>
      </c>
      <c r="C90" s="367" t="s">
        <v>1264</v>
      </c>
      <c r="D90" s="132" t="s">
        <v>1265</v>
      </c>
      <c r="E90" s="374" t="s">
        <v>1266</v>
      </c>
      <c r="F90" s="374" t="s">
        <v>1267</v>
      </c>
      <c r="G90" s="132" t="s">
        <v>1268</v>
      </c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</row>
    <row r="91" spans="1:20" ht="192" customHeight="1">
      <c r="A91" s="126"/>
      <c r="B91" s="373" t="s">
        <v>1269</v>
      </c>
      <c r="C91" s="367" t="s">
        <v>1270</v>
      </c>
      <c r="D91" s="132" t="s">
        <v>1271</v>
      </c>
      <c r="E91" s="132" t="s">
        <v>1272</v>
      </c>
      <c r="F91" s="132" t="s">
        <v>1273</v>
      </c>
      <c r="G91" s="132" t="s">
        <v>1274</v>
      </c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</row>
    <row r="92" spans="1:20" ht="16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</row>
    <row r="93" spans="1:20" ht="32.25" customHeight="1">
      <c r="A93" s="126"/>
      <c r="B93" s="414" t="s">
        <v>1275</v>
      </c>
      <c r="C93" s="415"/>
      <c r="D93" s="415"/>
      <c r="E93" s="415"/>
      <c r="F93" s="415"/>
      <c r="G93" s="415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</row>
    <row r="94" spans="1:20" s="416" customFormat="1" ht="17.25" customHeight="1">
      <c r="A94" s="417"/>
      <c r="B94" s="418"/>
      <c r="C94" s="419"/>
      <c r="D94" s="419"/>
      <c r="E94" s="419"/>
      <c r="F94" s="419"/>
      <c r="G94" s="420"/>
      <c r="H94" s="417"/>
      <c r="I94" s="417"/>
      <c r="J94" s="417"/>
      <c r="K94" s="417"/>
      <c r="L94" s="417"/>
      <c r="M94" s="421">
        <f>L31+C74</f>
        <v>101.73124000000001</v>
      </c>
      <c r="N94" s="417"/>
      <c r="O94" s="417"/>
      <c r="P94" s="417"/>
      <c r="Q94" s="417"/>
      <c r="R94" s="417"/>
      <c r="S94" s="417"/>
      <c r="T94" s="417"/>
    </row>
    <row r="95" spans="1:20" s="416" customFormat="1" ht="48" customHeight="1">
      <c r="B95" s="422" t="s">
        <v>1276</v>
      </c>
      <c r="C95" s="423"/>
      <c r="D95" s="423"/>
      <c r="E95" s="423"/>
      <c r="F95" s="423"/>
      <c r="G95" s="424"/>
      <c r="M95" s="425">
        <f>L37+D74</f>
        <v>89.915972250000024</v>
      </c>
    </row>
    <row r="96" spans="1:20" s="416" customFormat="1" ht="9.75" customHeight="1">
      <c r="B96" s="426"/>
      <c r="C96" s="426"/>
      <c r="D96" s="426"/>
      <c r="E96" s="426"/>
      <c r="F96" s="426"/>
      <c r="G96" s="427"/>
      <c r="M96" s="425">
        <f>L47+E74</f>
        <v>78.979422600000021</v>
      </c>
    </row>
    <row r="97" spans="2:13" s="416" customFormat="1" ht="65.25" customHeight="1">
      <c r="B97" s="428" t="s">
        <v>1277</v>
      </c>
      <c r="C97" s="634" t="s">
        <v>1278</v>
      </c>
      <c r="D97" s="634"/>
      <c r="E97" s="634"/>
      <c r="F97" s="634"/>
      <c r="G97" s="634"/>
      <c r="M97" s="425">
        <f>L54+F74</f>
        <v>65.569678320000008</v>
      </c>
    </row>
    <row r="98" spans="2:13" ht="54.75" customHeight="1">
      <c r="B98" s="245"/>
      <c r="C98" s="245"/>
      <c r="D98" s="245"/>
      <c r="E98" s="245"/>
      <c r="F98" s="245"/>
      <c r="G98" s="245"/>
    </row>
    <row r="99" spans="2:13" ht="65.25" customHeight="1">
      <c r="B99" s="429" t="s">
        <v>1279</v>
      </c>
      <c r="C99" s="632" t="s">
        <v>1280</v>
      </c>
      <c r="D99" s="632"/>
      <c r="E99" s="632"/>
      <c r="F99" s="632"/>
      <c r="G99" s="632"/>
    </row>
    <row r="100" spans="2:13" ht="54.75" customHeight="1">
      <c r="B100" s="245"/>
      <c r="C100" s="245"/>
      <c r="D100" s="245"/>
      <c r="E100" s="245"/>
      <c r="F100" s="245"/>
      <c r="G100" s="245"/>
    </row>
    <row r="101" spans="2:13" ht="65.25" customHeight="1">
      <c r="B101" s="429" t="s">
        <v>1281</v>
      </c>
      <c r="C101" s="632" t="s">
        <v>1282</v>
      </c>
      <c r="D101" s="632"/>
      <c r="E101" s="632"/>
      <c r="F101" s="632"/>
      <c r="G101" s="632"/>
    </row>
    <row r="102" spans="2:13" ht="16" customHeight="1">
      <c r="B102" s="245"/>
      <c r="C102" s="245"/>
      <c r="D102" s="245"/>
      <c r="E102" s="245"/>
      <c r="F102" s="245"/>
      <c r="G102" s="245"/>
    </row>
    <row r="103" spans="2:13" ht="65.25" customHeight="1">
      <c r="B103" s="429" t="s">
        <v>1283</v>
      </c>
      <c r="C103" s="632" t="s">
        <v>1284</v>
      </c>
      <c r="D103" s="632"/>
      <c r="E103" s="632"/>
      <c r="F103" s="632"/>
      <c r="G103" s="632"/>
    </row>
    <row r="104" spans="2:13" ht="54.75" customHeight="1">
      <c r="B104" s="245"/>
      <c r="C104" s="245"/>
      <c r="D104" s="245"/>
      <c r="E104" s="245"/>
      <c r="F104" s="245"/>
      <c r="G104" s="245"/>
    </row>
    <row r="105" spans="2:13" ht="65.25" customHeight="1">
      <c r="B105" s="429" t="s">
        <v>1285</v>
      </c>
      <c r="C105" s="632" t="s">
        <v>1286</v>
      </c>
      <c r="D105" s="632"/>
      <c r="E105" s="632"/>
      <c r="F105" s="632"/>
      <c r="G105" s="632"/>
    </row>
    <row r="106" spans="2:13" ht="54.75" customHeight="1">
      <c r="B106" s="245"/>
      <c r="C106" s="245"/>
      <c r="D106" s="245"/>
      <c r="E106" s="245"/>
      <c r="F106" s="245"/>
      <c r="G106" s="245"/>
    </row>
    <row r="107" spans="2:13" ht="65.25" customHeight="1">
      <c r="B107" s="429" t="s">
        <v>1287</v>
      </c>
      <c r="C107" s="632" t="s">
        <v>1288</v>
      </c>
      <c r="D107" s="632"/>
      <c r="E107" s="632"/>
      <c r="F107" s="632"/>
      <c r="G107" s="632"/>
    </row>
    <row r="108" spans="2:13" ht="16" customHeight="1">
      <c r="B108" s="245"/>
      <c r="C108" s="245"/>
      <c r="D108" s="245"/>
      <c r="E108" s="245"/>
      <c r="F108" s="245"/>
      <c r="G108" s="245"/>
    </row>
    <row r="109" spans="2:13" ht="65.25" customHeight="1">
      <c r="B109" s="429" t="s">
        <v>1289</v>
      </c>
      <c r="C109" s="632" t="s">
        <v>1290</v>
      </c>
      <c r="D109" s="632"/>
      <c r="E109" s="632"/>
      <c r="F109" s="632"/>
      <c r="G109" s="632"/>
    </row>
    <row r="110" spans="2:13" ht="45.75" customHeight="1">
      <c r="B110" s="430" t="s">
        <v>1291</v>
      </c>
      <c r="C110" s="431"/>
      <c r="D110" s="431"/>
      <c r="E110" s="431"/>
      <c r="F110" s="245"/>
      <c r="G110" s="245"/>
    </row>
    <row r="111" spans="2:13" ht="65.25" customHeight="1">
      <c r="B111" s="432" t="s">
        <v>1292</v>
      </c>
      <c r="C111" s="633" t="s">
        <v>1293</v>
      </c>
      <c r="D111" s="633"/>
      <c r="E111" s="633"/>
      <c r="F111" s="633"/>
      <c r="G111" s="633"/>
    </row>
    <row r="112" spans="2:13" ht="68.25" customHeight="1">
      <c r="B112" s="433" t="s">
        <v>1294</v>
      </c>
      <c r="C112" s="245" t="s">
        <v>1295</v>
      </c>
      <c r="D112" s="245" t="s">
        <v>1296</v>
      </c>
      <c r="E112" s="245" t="s">
        <v>576</v>
      </c>
      <c r="F112" s="245"/>
      <c r="G112" s="245"/>
    </row>
    <row r="113" spans="1:11" ht="68.25" customHeight="1">
      <c r="B113" s="433" t="s">
        <v>1297</v>
      </c>
      <c r="C113" s="245" t="s">
        <v>1298</v>
      </c>
      <c r="D113" s="245" t="s">
        <v>1299</v>
      </c>
      <c r="E113" s="245" t="s">
        <v>333</v>
      </c>
    </row>
    <row r="114" spans="1:11" ht="48.75" customHeight="1">
      <c r="B114" s="434" t="s">
        <v>1300</v>
      </c>
      <c r="C114" s="434" t="s">
        <v>1301</v>
      </c>
      <c r="D114" s="434" t="s">
        <v>1302</v>
      </c>
      <c r="E114" s="434" t="s">
        <v>1303</v>
      </c>
      <c r="F114" s="434"/>
      <c r="G114" s="435"/>
    </row>
    <row r="115" spans="1:11" ht="33.75" customHeight="1">
      <c r="B115" s="436" t="s">
        <v>1304</v>
      </c>
      <c r="C115" s="436" t="s">
        <v>1305</v>
      </c>
      <c r="D115" s="436" t="s">
        <v>1306</v>
      </c>
      <c r="E115" s="436" t="s">
        <v>735</v>
      </c>
      <c r="F115" s="436" t="s">
        <v>1307</v>
      </c>
    </row>
    <row r="116" spans="1:11" ht="84.75" customHeight="1">
      <c r="B116" s="437" t="s">
        <v>1308</v>
      </c>
      <c r="C116" s="438" t="s">
        <v>1309</v>
      </c>
      <c r="D116" s="438" t="s">
        <v>1310</v>
      </c>
      <c r="E116" s="438" t="s">
        <v>576</v>
      </c>
      <c r="F116" s="438" t="s">
        <v>1311</v>
      </c>
    </row>
    <row r="117" spans="1:11" ht="84.75" customHeight="1">
      <c r="B117" s="439" t="s">
        <v>1312</v>
      </c>
      <c r="C117" s="245" t="s">
        <v>1313</v>
      </c>
      <c r="D117" s="245" t="s">
        <v>1314</v>
      </c>
      <c r="E117" s="245" t="s">
        <v>333</v>
      </c>
      <c r="F117" s="245" t="s">
        <v>1315</v>
      </c>
    </row>
    <row r="118" spans="1:11" ht="119.25" customHeight="1">
      <c r="B118" s="437" t="s">
        <v>1316</v>
      </c>
      <c r="C118" s="438" t="s">
        <v>1317</v>
      </c>
      <c r="D118" s="438" t="s">
        <v>1318</v>
      </c>
      <c r="E118" s="438" t="s">
        <v>1303</v>
      </c>
      <c r="F118" s="438" t="s">
        <v>1319</v>
      </c>
    </row>
    <row r="119" spans="1:11" ht="84.75" customHeight="1">
      <c r="B119" s="440" t="s">
        <v>1320</v>
      </c>
      <c r="C119" s="245" t="s">
        <v>1321</v>
      </c>
      <c r="D119" s="245" t="s">
        <v>1322</v>
      </c>
      <c r="E119" s="245" t="s">
        <v>1323</v>
      </c>
      <c r="F119" s="245" t="s">
        <v>1311</v>
      </c>
    </row>
    <row r="120" spans="1:11" ht="39.75" customHeight="1">
      <c r="B120" s="441" t="s">
        <v>1324</v>
      </c>
      <c r="C120" s="438" t="s">
        <v>1325</v>
      </c>
      <c r="D120" s="438" t="s">
        <v>1326</v>
      </c>
      <c r="E120" s="438" t="s">
        <v>1327</v>
      </c>
      <c r="F120" s="438" t="s">
        <v>1328</v>
      </c>
    </row>
    <row r="121" spans="1:11" ht="39.75" customHeight="1">
      <c r="B121" s="439" t="s">
        <v>1329</v>
      </c>
      <c r="C121" s="245" t="s">
        <v>1330</v>
      </c>
      <c r="D121" s="245" t="s">
        <v>1331</v>
      </c>
      <c r="E121" s="245" t="s">
        <v>1332</v>
      </c>
      <c r="F121" s="245" t="s">
        <v>1333</v>
      </c>
    </row>
    <row r="122" spans="1:11" s="442" customFormat="1" ht="39.75" customHeight="1">
      <c r="A122"/>
      <c r="B122" s="245"/>
      <c r="C122" s="245"/>
      <c r="D122" s="245"/>
      <c r="E122" s="245"/>
      <c r="F122" s="245"/>
      <c r="G122"/>
      <c r="H122"/>
      <c r="I122"/>
      <c r="J122"/>
      <c r="K122"/>
    </row>
    <row r="123" spans="1:11" s="442" customFormat="1" ht="39.75" customHeight="1">
      <c r="A123"/>
      <c r="B123" s="245"/>
      <c r="C123" s="245"/>
      <c r="D123" s="245"/>
      <c r="E123" s="245"/>
      <c r="F123" s="245"/>
      <c r="G123"/>
      <c r="H123"/>
      <c r="I123"/>
      <c r="J123"/>
      <c r="K123"/>
    </row>
    <row r="124" spans="1:11" s="442" customFormat="1" ht="16" hidden="1" customHeight="1">
      <c r="A124"/>
      <c r="B124"/>
      <c r="C124"/>
      <c r="D124"/>
      <c r="E124"/>
      <c r="F124"/>
      <c r="G124"/>
      <c r="H124"/>
      <c r="I124"/>
      <c r="J124"/>
      <c r="K124"/>
    </row>
    <row r="125" spans="1:11" s="442" customFormat="1" ht="17.25" hidden="1" customHeight="1">
      <c r="A125"/>
      <c r="B125" s="435"/>
      <c r="C125" s="435"/>
      <c r="D125" s="435"/>
      <c r="E125" s="435"/>
      <c r="F125" s="435"/>
      <c r="G125" s="435"/>
      <c r="H125"/>
      <c r="I125"/>
      <c r="J125"/>
      <c r="K125"/>
    </row>
    <row r="126" spans="1:11" s="442" customFormat="1" ht="69.75" customHeight="1">
      <c r="A126"/>
      <c r="B126" s="443"/>
      <c r="C126" s="444"/>
      <c r="D126" s="444"/>
      <c r="E126" s="444"/>
      <c r="F126" s="444"/>
      <c r="G126" s="444"/>
      <c r="H126"/>
      <c r="I126"/>
      <c r="J126"/>
      <c r="K126"/>
    </row>
    <row r="128" spans="1:11" ht="16" customHeight="1">
      <c r="B128" s="445" t="s">
        <v>493</v>
      </c>
    </row>
    <row r="129" spans="2:2" ht="16" customHeight="1">
      <c r="B129" s="445" t="s">
        <v>494</v>
      </c>
    </row>
  </sheetData>
  <mergeCells count="10">
    <mergeCell ref="B1:L1"/>
    <mergeCell ref="B2:L2"/>
    <mergeCell ref="C109:G109"/>
    <mergeCell ref="C111:G111"/>
    <mergeCell ref="C97:G97"/>
    <mergeCell ref="C99:G99"/>
    <mergeCell ref="C101:G101"/>
    <mergeCell ref="C103:G103"/>
    <mergeCell ref="C105:G105"/>
    <mergeCell ref="C107:G107"/>
  </mergeCells>
  <conditionalFormatting sqref="C77:F77">
    <cfRule type="cellIs" dxfId="6" priority="1" operator="greaterThan">
      <formula>0.14</formula>
    </cfRule>
    <cfRule type="cellIs" dxfId="5" priority="2" operator="greaterThan">
      <formula>0.12</formula>
    </cfRule>
    <cfRule type="cellIs" dxfId="4" priority="3" operator="lessThanOrEqual">
      <formula>0.12</formula>
    </cfRule>
  </conditionalFormatting>
  <conditionalFormatting sqref="C82:F82">
    <cfRule type="containsText" dxfId="3" priority="13" operator="containsText" text="YES">
      <formula>NOT(ISERROR(SEARCH("YES",C82)))</formula>
    </cfRule>
    <cfRule type="containsText" dxfId="2" priority="14" operator="containsText" text="NO">
      <formula>NOT(ISERROR(SEARCH("NO",C82)))</formula>
    </cfRule>
  </conditionalFormatting>
  <printOptions horizontalCentered="1"/>
  <pageMargins left="0.7" right="0.7" top="0.75" bottom="0.75" header="0.3" footer="0.3"/>
  <pageSetup paperSize="9" scale="0" orientation="landscape"/>
  <headerFooter>
    <oddHeader>&amp;L&amp;C&amp;R</oddHeader>
    <oddFooter>&amp;L&amp;C&amp;R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4547-6A88-5277-ED87-8BC62340D908}">
  <sheetPr>
    <tabColor rgb="FF8B4513"/>
  </sheetPr>
  <dimension ref="B1:L47"/>
  <sheetViews>
    <sheetView showGridLines="0" workbookViewId="0"/>
  </sheetViews>
  <sheetFormatPr baseColWidth="10" defaultColWidth="9" defaultRowHeight="16" customHeight="1"/>
  <cols>
    <col min="1" max="1" width="2.5" customWidth="1"/>
    <col min="2" max="2" width="135.83203125" customWidth="1"/>
    <col min="3" max="3" width="27.5" customWidth="1"/>
    <col min="4" max="4" width="28.1640625" customWidth="1"/>
    <col min="5" max="5" width="28.33203125" customWidth="1"/>
    <col min="6" max="6" width="6" customWidth="1"/>
    <col min="7" max="7" width="19.33203125" customWidth="1"/>
  </cols>
  <sheetData>
    <row r="1" spans="2:12" ht="19.5" customHeight="1">
      <c r="B1" s="599" t="s">
        <v>1334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</row>
    <row r="2" spans="2:12" ht="15" customHeight="1">
      <c r="B2" s="600" t="s">
        <v>791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4" spans="2:12" ht="18" customHeight="1">
      <c r="B4" s="125" t="s">
        <v>1335</v>
      </c>
      <c r="C4" s="126"/>
      <c r="D4" s="126"/>
      <c r="E4" s="126"/>
      <c r="F4" s="126"/>
      <c r="G4" s="126"/>
    </row>
    <row r="5" spans="2:12" ht="16" customHeight="1">
      <c r="B5" s="127" t="s">
        <v>1336</v>
      </c>
      <c r="C5" s="126"/>
      <c r="D5" s="126"/>
      <c r="E5" s="126"/>
      <c r="F5" s="126"/>
      <c r="G5" s="126"/>
    </row>
    <row r="6" spans="2:12" ht="16" customHeight="1">
      <c r="B6" s="126"/>
      <c r="C6" s="126"/>
      <c r="D6" s="126"/>
      <c r="E6" s="126"/>
      <c r="F6" s="126"/>
      <c r="G6" s="126"/>
    </row>
    <row r="7" spans="2:12" ht="16" customHeight="1">
      <c r="B7" s="145" t="s">
        <v>1337</v>
      </c>
      <c r="C7" s="146"/>
      <c r="D7" s="146"/>
      <c r="E7" s="146"/>
      <c r="F7" s="146"/>
      <c r="G7" s="146"/>
    </row>
    <row r="8" spans="2:12" ht="16" customHeight="1">
      <c r="B8" s="147" t="s">
        <v>1338</v>
      </c>
      <c r="C8" s="148" t="s">
        <v>1339</v>
      </c>
      <c r="D8" s="148" t="s">
        <v>1340</v>
      </c>
      <c r="E8" s="148" t="s">
        <v>1341</v>
      </c>
      <c r="F8" s="148"/>
      <c r="G8" s="126"/>
    </row>
    <row r="9" spans="2:12" ht="16" customHeight="1">
      <c r="B9" s="446" t="s">
        <v>1342</v>
      </c>
      <c r="C9" s="126" t="s">
        <v>1343</v>
      </c>
      <c r="D9" s="126" t="s">
        <v>1344</v>
      </c>
      <c r="E9" s="126" t="s">
        <v>1345</v>
      </c>
      <c r="F9" s="126"/>
      <c r="G9" s="126"/>
    </row>
    <row r="10" spans="2:12" ht="16" customHeight="1">
      <c r="B10" s="447" t="s">
        <v>1346</v>
      </c>
      <c r="C10" s="126" t="s">
        <v>1347</v>
      </c>
      <c r="D10" s="126" t="s">
        <v>1348</v>
      </c>
      <c r="E10" s="126" t="s">
        <v>1349</v>
      </c>
      <c r="F10" s="126"/>
      <c r="G10" s="126"/>
    </row>
    <row r="11" spans="2:12" ht="16" customHeight="1">
      <c r="B11" s="448" t="s">
        <v>1350</v>
      </c>
      <c r="C11" s="126" t="s">
        <v>1351</v>
      </c>
      <c r="D11" s="126" t="s">
        <v>1352</v>
      </c>
      <c r="E11" s="126" t="s">
        <v>214</v>
      </c>
      <c r="F11" s="126"/>
      <c r="G11" s="126"/>
    </row>
    <row r="12" spans="2:12" ht="16" customHeight="1">
      <c r="B12" s="132"/>
      <c r="C12" s="126"/>
      <c r="D12" s="126"/>
      <c r="E12" s="126"/>
      <c r="F12" s="126"/>
      <c r="G12" s="126"/>
    </row>
    <row r="13" spans="2:12" ht="16" customHeight="1">
      <c r="B13" s="216" t="s">
        <v>1353</v>
      </c>
      <c r="C13" s="217"/>
      <c r="D13" s="217"/>
      <c r="E13" s="217"/>
      <c r="F13" s="217"/>
      <c r="G13" s="217"/>
    </row>
    <row r="14" spans="2:12" ht="16" customHeight="1">
      <c r="B14" s="141" t="s">
        <v>1354</v>
      </c>
      <c r="C14" s="142" t="s">
        <v>207</v>
      </c>
      <c r="D14" s="142" t="s">
        <v>1305</v>
      </c>
      <c r="E14" s="142" t="s">
        <v>1355</v>
      </c>
      <c r="F14" s="142" t="s">
        <v>210</v>
      </c>
      <c r="G14" s="142" t="s">
        <v>502</v>
      </c>
    </row>
    <row r="15" spans="2:12" ht="16" customHeight="1">
      <c r="B15" s="449">
        <v>1</v>
      </c>
      <c r="C15" s="126" t="s">
        <v>1356</v>
      </c>
      <c r="D15" s="126" t="s">
        <v>1357</v>
      </c>
      <c r="E15" s="126" t="s">
        <v>1358</v>
      </c>
      <c r="F15" s="450" t="s">
        <v>1359</v>
      </c>
      <c r="G15" s="126" t="s">
        <v>1360</v>
      </c>
    </row>
    <row r="16" spans="2:12" ht="16" customHeight="1">
      <c r="B16" s="449">
        <v>2</v>
      </c>
      <c r="C16" s="126" t="s">
        <v>1361</v>
      </c>
      <c r="D16" s="126" t="s">
        <v>1362</v>
      </c>
      <c r="E16" s="126" t="s">
        <v>1358</v>
      </c>
      <c r="F16" s="450" t="s">
        <v>1359</v>
      </c>
      <c r="G16" s="126" t="s">
        <v>1363</v>
      </c>
    </row>
    <row r="17" spans="2:7" ht="16" customHeight="1">
      <c r="B17" s="449">
        <v>3</v>
      </c>
      <c r="C17" s="126" t="s">
        <v>1364</v>
      </c>
      <c r="D17" s="126" t="s">
        <v>1365</v>
      </c>
      <c r="E17" s="126" t="s">
        <v>1366</v>
      </c>
      <c r="F17" s="450" t="s">
        <v>1359</v>
      </c>
      <c r="G17" s="126" t="s">
        <v>1367</v>
      </c>
    </row>
    <row r="18" spans="2:7" ht="16" customHeight="1">
      <c r="B18" s="449">
        <v>4</v>
      </c>
      <c r="C18" s="126" t="s">
        <v>1368</v>
      </c>
      <c r="D18" s="126" t="s">
        <v>1369</v>
      </c>
      <c r="E18" s="126" t="s">
        <v>1370</v>
      </c>
      <c r="F18" s="450" t="s">
        <v>1359</v>
      </c>
      <c r="G18" s="126" t="s">
        <v>1371</v>
      </c>
    </row>
    <row r="19" spans="2:7" ht="16" customHeight="1">
      <c r="B19" s="449">
        <v>5</v>
      </c>
      <c r="C19" s="126" t="s">
        <v>1372</v>
      </c>
      <c r="D19" s="126" t="s">
        <v>1373</v>
      </c>
      <c r="E19" s="126" t="s">
        <v>1374</v>
      </c>
      <c r="F19" s="450" t="s">
        <v>1359</v>
      </c>
      <c r="G19" s="126" t="s">
        <v>1375</v>
      </c>
    </row>
    <row r="20" spans="2:7" ht="16" customHeight="1">
      <c r="B20" s="449">
        <v>6</v>
      </c>
      <c r="C20" s="126" t="s">
        <v>1376</v>
      </c>
      <c r="D20" s="126" t="s">
        <v>1377</v>
      </c>
      <c r="E20" s="126" t="s">
        <v>1378</v>
      </c>
      <c r="F20" s="450" t="s">
        <v>1359</v>
      </c>
      <c r="G20" s="126" t="s">
        <v>1379</v>
      </c>
    </row>
    <row r="21" spans="2:7" ht="16" customHeight="1">
      <c r="B21" s="449">
        <v>7</v>
      </c>
      <c r="C21" s="126" t="s">
        <v>1380</v>
      </c>
      <c r="D21" s="126" t="s">
        <v>1381</v>
      </c>
      <c r="E21" s="126" t="s">
        <v>1382</v>
      </c>
      <c r="F21" s="450" t="s">
        <v>1359</v>
      </c>
      <c r="G21" s="126" t="s">
        <v>1383</v>
      </c>
    </row>
    <row r="22" spans="2:7" ht="16" customHeight="1">
      <c r="B22" s="449">
        <v>8</v>
      </c>
      <c r="C22" s="126" t="s">
        <v>1384</v>
      </c>
      <c r="D22" s="126" t="s">
        <v>1385</v>
      </c>
      <c r="E22" s="126" t="s">
        <v>1386</v>
      </c>
      <c r="F22" s="450" t="s">
        <v>1359</v>
      </c>
      <c r="G22" s="126" t="s">
        <v>1387</v>
      </c>
    </row>
    <row r="23" spans="2:7" ht="16" customHeight="1">
      <c r="B23" s="132"/>
      <c r="C23" s="126"/>
      <c r="D23" s="126"/>
      <c r="E23" s="126"/>
      <c r="F23" s="126"/>
      <c r="G23" s="126"/>
    </row>
    <row r="24" spans="2:7" ht="16" customHeight="1">
      <c r="B24" s="149" t="s">
        <v>1339</v>
      </c>
      <c r="C24" s="162" t="s">
        <v>1388</v>
      </c>
      <c r="D24" s="126"/>
      <c r="E24" s="126"/>
      <c r="F24" s="126"/>
      <c r="G24" s="126"/>
    </row>
    <row r="25" spans="2:7" ht="16" customHeight="1">
      <c r="B25" s="149" t="s">
        <v>1389</v>
      </c>
      <c r="C25" s="205" t="s">
        <v>1390</v>
      </c>
      <c r="D25" s="126"/>
      <c r="E25" s="126"/>
      <c r="F25" s="126"/>
      <c r="G25" s="126"/>
    </row>
    <row r="26" spans="2:7" ht="16" customHeight="1">
      <c r="B26" s="132"/>
      <c r="C26" s="126"/>
      <c r="D26" s="126"/>
      <c r="E26" s="126"/>
      <c r="F26" s="126"/>
      <c r="G26" s="126"/>
    </row>
    <row r="27" spans="2:7" ht="16" customHeight="1">
      <c r="B27" s="139" t="s">
        <v>1391</v>
      </c>
      <c r="C27" s="140"/>
      <c r="D27" s="140"/>
      <c r="E27" s="140"/>
      <c r="F27" s="126"/>
      <c r="G27" s="126"/>
    </row>
    <row r="28" spans="2:7" ht="16" customHeight="1">
      <c r="B28" s="141" t="s">
        <v>16</v>
      </c>
      <c r="C28" s="142" t="s">
        <v>1392</v>
      </c>
      <c r="D28" s="142" t="s">
        <v>1393</v>
      </c>
      <c r="E28" s="142" t="s">
        <v>1394</v>
      </c>
      <c r="F28" s="126"/>
      <c r="G28" s="126"/>
    </row>
    <row r="29" spans="2:7" ht="16" customHeight="1">
      <c r="B29" s="149" t="s">
        <v>36</v>
      </c>
      <c r="C29" s="126" t="s">
        <v>41</v>
      </c>
      <c r="D29" s="126" t="s">
        <v>938</v>
      </c>
      <c r="E29" s="451" t="s">
        <v>1395</v>
      </c>
      <c r="F29" s="126"/>
      <c r="G29" s="126"/>
    </row>
    <row r="30" spans="2:7" ht="16" customHeight="1">
      <c r="B30" s="149" t="s">
        <v>1396</v>
      </c>
      <c r="C30" s="126" t="s">
        <v>1397</v>
      </c>
      <c r="D30" s="126" t="s">
        <v>1398</v>
      </c>
      <c r="E30" s="451" t="s">
        <v>1399</v>
      </c>
      <c r="F30" s="126"/>
      <c r="G30" s="126"/>
    </row>
    <row r="31" spans="2:7" ht="16" customHeight="1">
      <c r="B31" s="149" t="s">
        <v>1400</v>
      </c>
      <c r="C31" s="126" t="s">
        <v>1401</v>
      </c>
      <c r="D31" s="126" t="s">
        <v>1402</v>
      </c>
      <c r="E31" s="451" t="s">
        <v>1403</v>
      </c>
      <c r="F31" s="126"/>
      <c r="G31" s="126"/>
    </row>
    <row r="32" spans="2:7" ht="16" customHeight="1">
      <c r="B32" s="149" t="s">
        <v>378</v>
      </c>
      <c r="C32" s="452">
        <v>0.17599999999999999</v>
      </c>
      <c r="D32" s="452">
        <v>0.17799999999999999</v>
      </c>
      <c r="E32" s="453">
        <v>2E-3</v>
      </c>
      <c r="F32" s="126"/>
      <c r="G32" s="126"/>
    </row>
    <row r="33" spans="2:7" ht="16" customHeight="1">
      <c r="B33" s="162" t="s">
        <v>258</v>
      </c>
      <c r="C33" s="126" t="s">
        <v>1404</v>
      </c>
      <c r="D33" s="126" t="s">
        <v>280</v>
      </c>
      <c r="E33" s="451" t="s">
        <v>1405</v>
      </c>
      <c r="F33" s="126"/>
      <c r="G33" s="126"/>
    </row>
    <row r="34" spans="2:7" ht="16" customHeight="1">
      <c r="B34" s="162" t="s">
        <v>49</v>
      </c>
      <c r="C34" s="126" t="s">
        <v>1406</v>
      </c>
      <c r="D34" s="126" t="s">
        <v>50</v>
      </c>
      <c r="E34" s="451" t="s">
        <v>1407</v>
      </c>
      <c r="F34" s="126"/>
      <c r="G34" s="126"/>
    </row>
    <row r="35" spans="2:7" ht="16" customHeight="1">
      <c r="B35" s="162" t="s">
        <v>1408</v>
      </c>
      <c r="C35" s="126" t="s">
        <v>1409</v>
      </c>
      <c r="D35" s="126" t="s">
        <v>1410</v>
      </c>
      <c r="E35" s="350" t="s">
        <v>1411</v>
      </c>
      <c r="F35" s="126"/>
      <c r="G35" s="126"/>
    </row>
    <row r="36" spans="2:7" ht="16" customHeight="1">
      <c r="B36" s="162" t="s">
        <v>45</v>
      </c>
      <c r="C36" s="126" t="s">
        <v>1412</v>
      </c>
      <c r="D36" s="126" t="s">
        <v>292</v>
      </c>
      <c r="E36" s="451" t="s">
        <v>1413</v>
      </c>
      <c r="F36" s="126"/>
      <c r="G36" s="126"/>
    </row>
    <row r="37" spans="2:7" ht="16" customHeight="1">
      <c r="B37" s="162" t="s">
        <v>1414</v>
      </c>
      <c r="C37" s="126" t="s">
        <v>1415</v>
      </c>
      <c r="D37" s="126" t="s">
        <v>1416</v>
      </c>
      <c r="E37" s="350"/>
      <c r="F37" s="126"/>
      <c r="G37" s="126"/>
    </row>
    <row r="38" spans="2:7" ht="16" customHeight="1">
      <c r="B38" s="126"/>
      <c r="C38" s="126"/>
      <c r="D38" s="126"/>
      <c r="E38" s="126"/>
      <c r="F38" s="126"/>
      <c r="G38" s="126"/>
    </row>
    <row r="39" spans="2:7" ht="16" customHeight="1">
      <c r="B39" s="200" t="s">
        <v>1417</v>
      </c>
      <c r="C39" s="152"/>
      <c r="D39" s="152"/>
      <c r="E39" s="152"/>
      <c r="F39" s="126"/>
      <c r="G39" s="126"/>
    </row>
    <row r="40" spans="2:7" ht="16" customHeight="1">
      <c r="B40" s="162" t="s">
        <v>520</v>
      </c>
      <c r="C40" s="126" t="s">
        <v>44</v>
      </c>
      <c r="D40" s="126"/>
      <c r="E40" s="126"/>
      <c r="F40" s="126"/>
      <c r="G40" s="126"/>
    </row>
    <row r="41" spans="2:7" ht="16" customHeight="1">
      <c r="B41" s="162" t="s">
        <v>1418</v>
      </c>
      <c r="C41" s="126" t="s">
        <v>1419</v>
      </c>
      <c r="D41" s="126"/>
      <c r="E41" s="126"/>
      <c r="F41" s="126"/>
      <c r="G41" s="126"/>
    </row>
    <row r="42" spans="2:7" ht="16" customHeight="1">
      <c r="B42" s="162" t="s">
        <v>1420</v>
      </c>
      <c r="C42" s="126" t="s">
        <v>1421</v>
      </c>
      <c r="D42" s="126" t="s">
        <v>1422</v>
      </c>
      <c r="E42" s="126"/>
      <c r="F42" s="126"/>
      <c r="G42" s="126"/>
    </row>
    <row r="43" spans="2:7" ht="16" customHeight="1">
      <c r="B43" s="162" t="s">
        <v>1423</v>
      </c>
      <c r="C43" s="126" t="s">
        <v>1424</v>
      </c>
      <c r="D43" s="126" t="s">
        <v>1425</v>
      </c>
      <c r="E43" s="126"/>
      <c r="F43" s="126"/>
      <c r="G43" s="126"/>
    </row>
    <row r="44" spans="2:7" ht="16" customHeight="1">
      <c r="B44" s="162" t="s">
        <v>61</v>
      </c>
      <c r="C44" s="261" t="s">
        <v>1426</v>
      </c>
      <c r="D44" s="126" t="s">
        <v>1427</v>
      </c>
      <c r="E44" s="126"/>
      <c r="F44" s="126"/>
      <c r="G44" s="126"/>
    </row>
    <row r="45" spans="2:7" ht="16" customHeight="1">
      <c r="B45" s="126"/>
      <c r="C45" s="126"/>
      <c r="D45" s="126"/>
      <c r="E45" s="126"/>
      <c r="F45" s="126"/>
      <c r="G45" s="126"/>
    </row>
    <row r="46" spans="2:7" ht="16" customHeight="1">
      <c r="B46" s="155" t="s">
        <v>493</v>
      </c>
      <c r="C46" s="126"/>
      <c r="D46" s="126"/>
      <c r="E46" s="126"/>
      <c r="F46" s="126"/>
      <c r="G46" s="126"/>
    </row>
    <row r="47" spans="2:7" ht="16" customHeight="1">
      <c r="B47" s="156" t="s">
        <v>494</v>
      </c>
      <c r="C47" s="126"/>
      <c r="D47" s="126"/>
      <c r="E47" s="126"/>
      <c r="F47" s="126"/>
      <c r="G47" s="126"/>
    </row>
  </sheetData>
  <mergeCells count="2">
    <mergeCell ref="B1:L1"/>
    <mergeCell ref="B2:L2"/>
  </mergeCells>
  <conditionalFormatting sqref="F15:F22">
    <cfRule type="containsText" dxfId="1" priority="1" operator="containsText" text="PASS">
      <formula>NOT(ISERROR(SEARCH("PASS",F15)))</formula>
    </cfRule>
    <cfRule type="containsText" dxfId="0" priority="2" operator="containsText" text="FAIL">
      <formula>NOT(ISERROR(SEARCH("FAIL",F15)))</formula>
    </cfRule>
  </conditionalFormatting>
  <printOptions horizontalCentered="1"/>
  <pageMargins left="0.01" right="0.01" top="0.01" bottom="0.01" header="0" footer="0"/>
  <pageSetup paperSize="9" scale="0" orientation="landscape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456E-BFA8-ACE8-B645-B0DE3D51879E}">
  <dimension ref="B1:I79"/>
  <sheetViews>
    <sheetView topLeftCell="A59" workbookViewId="0">
      <selection activeCell="B75" sqref="B75"/>
    </sheetView>
  </sheetViews>
  <sheetFormatPr baseColWidth="10" defaultColWidth="7.83203125" defaultRowHeight="15" customHeight="1"/>
  <cols>
    <col min="2" max="2" width="35" customWidth="1"/>
    <col min="3" max="3" width="14.5" customWidth="1"/>
    <col min="4" max="4" width="36" customWidth="1"/>
    <col min="5" max="5" width="9" customWidth="1"/>
    <col min="6" max="6" width="8.83203125" customWidth="1"/>
    <col min="7" max="7" width="10.83203125" customWidth="1"/>
    <col min="8" max="8" width="25" customWidth="1"/>
    <col min="9" max="9" width="6.83203125" customWidth="1"/>
  </cols>
  <sheetData>
    <row r="1" spans="2:8" ht="19.5" customHeight="1">
      <c r="B1" s="636" t="s">
        <v>1428</v>
      </c>
      <c r="C1" s="540"/>
      <c r="D1" s="540"/>
      <c r="E1" s="540"/>
      <c r="F1" s="540"/>
      <c r="G1" s="540"/>
    </row>
    <row r="2" spans="2:8" ht="15" customHeight="1">
      <c r="B2" s="637" t="s">
        <v>1429</v>
      </c>
      <c r="C2" s="540"/>
      <c r="D2" s="540"/>
      <c r="E2" s="540"/>
      <c r="F2" s="540"/>
      <c r="G2" s="540"/>
    </row>
    <row r="5" spans="2:8" ht="15" customHeight="1">
      <c r="B5" s="635" t="s">
        <v>1430</v>
      </c>
      <c r="C5" s="540"/>
      <c r="D5" s="540"/>
      <c r="E5" s="540"/>
      <c r="F5" s="540"/>
    </row>
    <row r="6" spans="2:8" ht="15" customHeight="1">
      <c r="B6" t="s">
        <v>1431</v>
      </c>
      <c r="C6" s="455">
        <v>6.6699999999999995E-2</v>
      </c>
      <c r="D6" t="s">
        <v>1432</v>
      </c>
    </row>
    <row r="7" spans="2:8" ht="15" customHeight="1">
      <c r="B7" s="456" t="s">
        <v>1433</v>
      </c>
      <c r="C7" s="457" cm="1">
        <f t="array" ref="C7">C6</f>
        <v>6.6699999999999995E-2</v>
      </c>
    </row>
    <row r="10" spans="2:8" ht="15" customHeight="1">
      <c r="B10" s="635" t="s">
        <v>1434</v>
      </c>
      <c r="C10" s="540"/>
      <c r="D10" s="540"/>
      <c r="E10" s="540"/>
      <c r="F10" s="540"/>
      <c r="G10" s="540"/>
    </row>
    <row r="11" spans="2:8" ht="15" customHeight="1">
      <c r="B11" s="458" t="s">
        <v>1435</v>
      </c>
      <c r="C11" s="458" t="s">
        <v>1436</v>
      </c>
      <c r="D11" s="458" t="s">
        <v>1437</v>
      </c>
      <c r="E11" s="458" t="s">
        <v>1438</v>
      </c>
      <c r="F11" s="458" t="s">
        <v>1439</v>
      </c>
      <c r="G11" s="458" t="s">
        <v>1440</v>
      </c>
      <c r="H11" s="458" t="s">
        <v>502</v>
      </c>
    </row>
    <row r="12" spans="2:8" ht="15" customHeight="1">
      <c r="B12" t="s">
        <v>1441</v>
      </c>
      <c r="C12" t="s">
        <v>1442</v>
      </c>
      <c r="D12" t="s">
        <v>1443</v>
      </c>
      <c r="E12" s="459">
        <v>1.4</v>
      </c>
      <c r="F12" s="459">
        <v>0.35</v>
      </c>
      <c r="G12" s="459">
        <f t="shared" ref="G12:G14" si="0">E12/(1+(1-0.25)*F12)</f>
        <v>1.1089108910891088</v>
      </c>
      <c r="H12" t="s">
        <v>1444</v>
      </c>
    </row>
    <row r="13" spans="2:8" ht="15" customHeight="1">
      <c r="B13" t="s">
        <v>1445</v>
      </c>
      <c r="C13" t="s">
        <v>1446</v>
      </c>
      <c r="D13" t="s">
        <v>1447</v>
      </c>
      <c r="E13" s="459">
        <v>-0.44</v>
      </c>
      <c r="F13" s="459">
        <v>0.45</v>
      </c>
      <c r="G13" s="459">
        <v>0.85</v>
      </c>
      <c r="H13" t="s">
        <v>1448</v>
      </c>
    </row>
    <row r="14" spans="2:8" ht="15" customHeight="1">
      <c r="B14" t="s">
        <v>1449</v>
      </c>
      <c r="C14" t="s">
        <v>1450</v>
      </c>
      <c r="D14" t="s">
        <v>1443</v>
      </c>
      <c r="E14" s="459">
        <v>1.02</v>
      </c>
      <c r="F14" s="459">
        <v>0.25</v>
      </c>
      <c r="G14" s="459">
        <f t="shared" si="0"/>
        <v>0.85894736842105268</v>
      </c>
      <c r="H14" t="s">
        <v>1451</v>
      </c>
    </row>
    <row r="16" spans="2:8" ht="15" customHeight="1">
      <c r="B16" s="456" t="s">
        <v>1452</v>
      </c>
      <c r="G16" s="460">
        <f>AVERAGE(G12:G14)</f>
        <v>0.93928608650338707</v>
      </c>
      <c r="H16" t="s">
        <v>1453</v>
      </c>
    </row>
    <row r="19" spans="2:6" ht="15" customHeight="1">
      <c r="B19" s="635" t="s">
        <v>1454</v>
      </c>
      <c r="C19" s="540"/>
      <c r="D19" s="540"/>
      <c r="E19" s="540"/>
      <c r="F19" s="540"/>
    </row>
    <row r="20" spans="2:6" ht="15" customHeight="1">
      <c r="B20" t="s">
        <v>1455</v>
      </c>
      <c r="C20" s="455">
        <v>7.4999999999999997E-2</v>
      </c>
      <c r="D20" t="s">
        <v>1456</v>
      </c>
    </row>
    <row r="21" spans="2:6" ht="15" customHeight="1">
      <c r="B21" t="s">
        <v>1457</v>
      </c>
      <c r="C21" s="455">
        <v>0.02</v>
      </c>
      <c r="D21" t="s">
        <v>1458</v>
      </c>
    </row>
    <row r="22" spans="2:6" ht="15" customHeight="1">
      <c r="B22" t="s">
        <v>1459</v>
      </c>
      <c r="C22" s="455">
        <v>0.03</v>
      </c>
      <c r="D22" t="s">
        <v>1460</v>
      </c>
    </row>
    <row r="23" spans="2:6" ht="15" customHeight="1">
      <c r="B23" t="s">
        <v>1461</v>
      </c>
      <c r="C23" s="455">
        <v>1.4999999999999999E-2</v>
      </c>
      <c r="D23" t="s">
        <v>1462</v>
      </c>
    </row>
    <row r="25" spans="2:6" ht="15" customHeight="1">
      <c r="B25" s="456" t="s">
        <v>1463</v>
      </c>
      <c r="C25" s="457">
        <f>SUM(C20:C23)</f>
        <v>0.14000000000000001</v>
      </c>
    </row>
    <row r="28" spans="2:6" ht="15" customHeight="1">
      <c r="B28" s="635" t="s">
        <v>1464</v>
      </c>
      <c r="C28" s="540"/>
      <c r="D28" s="540"/>
      <c r="E28" s="540"/>
      <c r="F28" s="540"/>
    </row>
    <row r="29" spans="2:6" ht="15" customHeight="1">
      <c r="B29" t="s">
        <v>1465</v>
      </c>
      <c r="C29" s="459" cm="1">
        <f t="array" ref="C29">G16</f>
        <v>0.93928608650338707</v>
      </c>
    </row>
    <row r="30" spans="2:6" ht="15" customHeight="1">
      <c r="B30" t="s">
        <v>1466</v>
      </c>
      <c r="C30" s="459">
        <v>0.67</v>
      </c>
      <c r="D30" t="s">
        <v>1467</v>
      </c>
    </row>
    <row r="31" spans="2:6" ht="15" customHeight="1">
      <c r="B31" t="s">
        <v>1468</v>
      </c>
      <c r="C31" s="455">
        <v>0.25</v>
      </c>
      <c r="D31" t="s">
        <v>1469</v>
      </c>
    </row>
    <row r="33" spans="2:6" ht="15" customHeight="1">
      <c r="B33" s="456" t="s">
        <v>1470</v>
      </c>
      <c r="C33" s="460">
        <f>C29*(1+(1-C31)*C30)</f>
        <v>1.4112773449713389</v>
      </c>
    </row>
    <row r="34" spans="2:6" ht="15" customHeight="1">
      <c r="B34" s="454" t="s">
        <v>1471</v>
      </c>
    </row>
    <row r="37" spans="2:6" ht="15" customHeight="1">
      <c r="B37" s="635" t="s">
        <v>1472</v>
      </c>
      <c r="C37" s="540"/>
      <c r="D37" s="540"/>
      <c r="E37" s="540"/>
      <c r="F37" s="540"/>
    </row>
    <row r="38" spans="2:6" ht="15" customHeight="1">
      <c r="B38" t="s">
        <v>1473</v>
      </c>
      <c r="C38" s="455" cm="1">
        <f t="array" ref="C38">C7</f>
        <v>6.6699999999999995E-2</v>
      </c>
    </row>
    <row r="39" spans="2:6" ht="15" customHeight="1">
      <c r="B39" t="s">
        <v>1470</v>
      </c>
      <c r="C39" s="459" cm="1">
        <f t="array" ref="C39">C33</f>
        <v>1.4112773449713389</v>
      </c>
    </row>
    <row r="40" spans="2:6" ht="15" customHeight="1">
      <c r="B40" t="s">
        <v>1463</v>
      </c>
      <c r="C40" s="455" cm="1">
        <f t="array" ref="C40">C25</f>
        <v>0.14000000000000001</v>
      </c>
    </row>
    <row r="42" spans="2:6" ht="15" customHeight="1">
      <c r="B42" s="456" t="s">
        <v>1474</v>
      </c>
      <c r="C42" s="461">
        <f>C38+C39*C40</f>
        <v>0.26427882829598748</v>
      </c>
      <c r="D42" t="s">
        <v>1475</v>
      </c>
    </row>
    <row r="44" spans="2:6" ht="15" customHeight="1">
      <c r="B44" t="s">
        <v>1476</v>
      </c>
      <c r="C44" s="455">
        <v>8.5000000000000006E-2</v>
      </c>
      <c r="D44" t="s">
        <v>680</v>
      </c>
    </row>
    <row r="45" spans="2:6" ht="15" customHeight="1">
      <c r="B45" t="s">
        <v>1477</v>
      </c>
      <c r="C45" s="455" cm="1">
        <f t="array" ref="C45">C31</f>
        <v>0.25</v>
      </c>
    </row>
    <row r="47" spans="2:6" ht="15" customHeight="1">
      <c r="B47" s="456" t="s">
        <v>1478</v>
      </c>
      <c r="C47" s="457">
        <f>C44*(1-C45)</f>
        <v>6.3750000000000001E-2</v>
      </c>
    </row>
    <row r="49" spans="2:6" ht="15" customHeight="1">
      <c r="B49" t="s">
        <v>1479</v>
      </c>
      <c r="C49" s="455">
        <v>0.6</v>
      </c>
    </row>
    <row r="50" spans="2:6" ht="15" customHeight="1">
      <c r="B50" t="s">
        <v>1480</v>
      </c>
      <c r="C50" s="455">
        <v>0.4</v>
      </c>
    </row>
    <row r="52" spans="2:6" ht="15" customHeight="1">
      <c r="B52" s="33" t="s">
        <v>1481</v>
      </c>
      <c r="C52" s="462">
        <f>(C42*C49)+(C47*C50)</f>
        <v>0.18406729697759247</v>
      </c>
    </row>
    <row r="53" spans="2:6" ht="15" customHeight="1">
      <c r="B53" s="454" t="s">
        <v>1482</v>
      </c>
    </row>
    <row r="56" spans="2:6" ht="15" customHeight="1">
      <c r="B56" s="635" t="s">
        <v>1483</v>
      </c>
      <c r="C56" s="540"/>
      <c r="D56" s="540"/>
      <c r="E56" s="540"/>
      <c r="F56" s="540"/>
    </row>
    <row r="57" spans="2:6" ht="15" customHeight="1">
      <c r="B57" t="s">
        <v>1484</v>
      </c>
      <c r="C57" s="455">
        <v>0.12</v>
      </c>
      <c r="D57" t="s">
        <v>1485</v>
      </c>
    </row>
    <row r="58" spans="2:6" ht="15" customHeight="1">
      <c r="B58" s="456" t="s">
        <v>1486</v>
      </c>
      <c r="C58" s="457" cm="1">
        <f t="array" ref="C58">C52</f>
        <v>0.18406729697759247</v>
      </c>
    </row>
    <row r="59" spans="2:6" ht="15" customHeight="1">
      <c r="B59" s="463" t="s">
        <v>1487</v>
      </c>
      <c r="C59" s="464">
        <f>C58-C57</f>
        <v>6.4067296977592475E-2</v>
      </c>
    </row>
    <row r="61" spans="2:6" ht="15" customHeight="1">
      <c r="B61" s="465" t="s">
        <v>1488</v>
      </c>
      <c r="C61" s="465" t="s">
        <v>1489</v>
      </c>
    </row>
    <row r="62" spans="2:6" ht="15" customHeight="1">
      <c r="B62" t="s">
        <v>1490</v>
      </c>
    </row>
    <row r="63" spans="2:6" ht="15" customHeight="1">
      <c r="B63" t="s">
        <v>1491</v>
      </c>
    </row>
    <row r="64" spans="2:6" ht="15" customHeight="1">
      <c r="B64" t="s">
        <v>1492</v>
      </c>
    </row>
    <row r="67" spans="2:9" ht="15" customHeight="1">
      <c r="B67" s="635" t="s">
        <v>1493</v>
      </c>
      <c r="C67" s="540"/>
      <c r="D67" s="540"/>
      <c r="E67" s="540"/>
      <c r="F67" s="540"/>
    </row>
    <row r="68" spans="2:9" ht="15" customHeight="1">
      <c r="B68" s="456" t="s">
        <v>1494</v>
      </c>
      <c r="C68" s="466">
        <v>0.12</v>
      </c>
      <c r="D68" s="466">
        <v>0.13</v>
      </c>
      <c r="E68" s="466">
        <v>0.14000000000000001</v>
      </c>
      <c r="F68" s="466">
        <v>0.15</v>
      </c>
      <c r="H68" s="467" t="s">
        <v>1495</v>
      </c>
      <c r="I68" s="468" cm="1">
        <f t="array" ref="I68">C7</f>
        <v>6.6699999999999995E-2</v>
      </c>
    </row>
    <row r="69" spans="2:9" ht="15" customHeight="1">
      <c r="B69" s="460">
        <v>1.2</v>
      </c>
      <c r="C69" s="455">
        <f t="shared" ref="C69:F72" si="1">($I$68+$B69*C$68)*$I$69+$I$70*$I$71</f>
        <v>0.15192</v>
      </c>
      <c r="D69" s="455">
        <f t="shared" si="1"/>
        <v>0.15911999999999998</v>
      </c>
      <c r="E69" s="455">
        <f t="shared" si="1"/>
        <v>0.16632</v>
      </c>
      <c r="F69" s="455">
        <f t="shared" si="1"/>
        <v>0.17351999999999998</v>
      </c>
      <c r="H69" s="467" t="s">
        <v>1496</v>
      </c>
      <c r="I69" s="468" cm="1">
        <f t="array" ref="I69">C49</f>
        <v>0.6</v>
      </c>
    </row>
    <row r="70" spans="2:9" ht="15" customHeight="1">
      <c r="B70" s="460">
        <v>1.3</v>
      </c>
      <c r="C70" s="455">
        <f t="shared" si="1"/>
        <v>0.15911999999999998</v>
      </c>
      <c r="D70" s="455">
        <f t="shared" si="1"/>
        <v>0.16692000000000001</v>
      </c>
      <c r="E70" s="455">
        <f t="shared" si="1"/>
        <v>0.17472000000000001</v>
      </c>
      <c r="F70" s="455">
        <f t="shared" si="1"/>
        <v>0.18251999999999999</v>
      </c>
      <c r="H70" s="467" t="s">
        <v>1497</v>
      </c>
      <c r="I70" s="468" cm="1">
        <f t="array" ref="I70">C47</f>
        <v>6.3750000000000001E-2</v>
      </c>
    </row>
    <row r="71" spans="2:9" ht="15" customHeight="1">
      <c r="B71" s="460">
        <v>1.41</v>
      </c>
      <c r="C71" s="455">
        <f t="shared" si="1"/>
        <v>0.16703999999999999</v>
      </c>
      <c r="D71" s="455">
        <f t="shared" si="1"/>
        <v>0.17549999999999999</v>
      </c>
      <c r="E71" s="469">
        <f t="shared" si="1"/>
        <v>0.18395999999999998</v>
      </c>
      <c r="F71" s="455">
        <f t="shared" si="1"/>
        <v>0.19241999999999998</v>
      </c>
      <c r="H71" s="467" t="s">
        <v>1498</v>
      </c>
      <c r="I71" s="468" cm="1">
        <f t="array" ref="I71">C50</f>
        <v>0.4</v>
      </c>
    </row>
    <row r="72" spans="2:9" ht="15" customHeight="1">
      <c r="B72" s="460">
        <v>1.5</v>
      </c>
      <c r="C72" s="455">
        <f t="shared" si="1"/>
        <v>0.17351999999999998</v>
      </c>
      <c r="D72" s="455">
        <f t="shared" si="1"/>
        <v>0.18251999999999999</v>
      </c>
      <c r="E72" s="455">
        <f t="shared" si="1"/>
        <v>0.19152</v>
      </c>
      <c r="F72" s="455">
        <f t="shared" si="1"/>
        <v>0.20051999999999998</v>
      </c>
    </row>
    <row r="75" spans="2:9" ht="15" customHeight="1">
      <c r="B75" s="456" t="s">
        <v>1499</v>
      </c>
    </row>
    <row r="76" spans="2:9" ht="15" customHeight="1">
      <c r="B76" t="s">
        <v>1500</v>
      </c>
    </row>
    <row r="77" spans="2:9" ht="15" customHeight="1">
      <c r="B77" t="s">
        <v>1501</v>
      </c>
    </row>
    <row r="78" spans="2:9" ht="15" customHeight="1">
      <c r="B78" t="s">
        <v>1502</v>
      </c>
    </row>
    <row r="79" spans="2:9" ht="15" customHeight="1">
      <c r="B79" t="s">
        <v>1503</v>
      </c>
    </row>
  </sheetData>
  <mergeCells count="9">
    <mergeCell ref="B28:F28"/>
    <mergeCell ref="B37:F37"/>
    <mergeCell ref="B56:F56"/>
    <mergeCell ref="B67:F67"/>
    <mergeCell ref="B1:G1"/>
    <mergeCell ref="B2:G2"/>
    <mergeCell ref="B5:F5"/>
    <mergeCell ref="B10:G10"/>
    <mergeCell ref="B19:F19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3676-1416-8748-D149-0A4D152F604E}">
  <dimension ref="A1:K15"/>
  <sheetViews>
    <sheetView workbookViewId="0"/>
  </sheetViews>
  <sheetFormatPr baseColWidth="10" defaultColWidth="9" defaultRowHeight="16" customHeight="1"/>
  <sheetData>
    <row r="1" spans="1:11" ht="16" customHeight="1">
      <c r="B1" t="s">
        <v>1185</v>
      </c>
      <c r="C1" t="s">
        <v>1186</v>
      </c>
      <c r="D1" t="s">
        <v>1187</v>
      </c>
      <c r="E1" t="s">
        <v>1188</v>
      </c>
      <c r="F1" t="s">
        <v>1189</v>
      </c>
      <c r="G1" t="s">
        <v>1190</v>
      </c>
      <c r="H1" t="s">
        <v>1191</v>
      </c>
      <c r="I1" t="s">
        <v>1192</v>
      </c>
      <c r="J1" t="s">
        <v>1193</v>
      </c>
      <c r="K1" t="s">
        <v>1194</v>
      </c>
    </row>
    <row r="2" spans="1:11" ht="16" customHeight="1">
      <c r="A2" t="s">
        <v>1504</v>
      </c>
      <c r="B2">
        <v>7.33</v>
      </c>
      <c r="C2">
        <v>8.73</v>
      </c>
      <c r="D2">
        <v>10.02</v>
      </c>
      <c r="E2">
        <v>12.64</v>
      </c>
      <c r="F2">
        <v>15.17</v>
      </c>
      <c r="G2">
        <v>15.93</v>
      </c>
      <c r="H2">
        <v>16.73</v>
      </c>
      <c r="I2">
        <v>17.57</v>
      </c>
      <c r="J2">
        <v>18.440000000000001</v>
      </c>
      <c r="K2">
        <v>19.37</v>
      </c>
    </row>
    <row r="3" spans="1:11" ht="16" customHeight="1">
      <c r="A3" t="s">
        <v>1505</v>
      </c>
      <c r="B3">
        <v>2.93</v>
      </c>
      <c r="C3">
        <v>3.53</v>
      </c>
      <c r="D3">
        <v>4.05</v>
      </c>
      <c r="E3">
        <v>5.1100000000000003</v>
      </c>
      <c r="F3">
        <v>6.07</v>
      </c>
      <c r="G3">
        <v>6.44</v>
      </c>
      <c r="H3">
        <v>6.88</v>
      </c>
      <c r="I3">
        <v>7.22</v>
      </c>
      <c r="J3">
        <v>7.68</v>
      </c>
      <c r="K3">
        <v>8.2100000000000009</v>
      </c>
    </row>
    <row r="5" spans="1:11" ht="16" customHeight="1">
      <c r="A5" t="s">
        <v>107</v>
      </c>
      <c r="B5" t="s">
        <v>378</v>
      </c>
    </row>
    <row r="6" spans="1:11" ht="16" customHeight="1">
      <c r="A6" t="s">
        <v>1506</v>
      </c>
      <c r="B6">
        <v>0.14299999999999999</v>
      </c>
    </row>
    <row r="7" spans="1:11" ht="16" customHeight="1">
      <c r="A7" t="s">
        <v>1507</v>
      </c>
      <c r="B7">
        <v>0.17799999999999999</v>
      </c>
    </row>
    <row r="8" spans="1:11" ht="16" customHeight="1">
      <c r="A8" t="s">
        <v>1508</v>
      </c>
      <c r="B8">
        <v>0.22900000000000001</v>
      </c>
    </row>
    <row r="10" spans="1:11" ht="16" customHeight="1">
      <c r="A10" t="s">
        <v>543</v>
      </c>
      <c r="B10" t="s">
        <v>378</v>
      </c>
      <c r="C10" t="s">
        <v>1509</v>
      </c>
    </row>
    <row r="11" spans="1:11" ht="16" customHeight="1">
      <c r="A11" t="s">
        <v>371</v>
      </c>
      <c r="B11">
        <v>0.157</v>
      </c>
      <c r="C11">
        <v>0.12</v>
      </c>
    </row>
    <row r="12" spans="1:11" ht="16" customHeight="1">
      <c r="A12" t="s">
        <v>372</v>
      </c>
      <c r="B12">
        <v>0.13400000000000001</v>
      </c>
      <c r="C12">
        <v>0.12</v>
      </c>
    </row>
    <row r="13" spans="1:11" ht="16" customHeight="1">
      <c r="A13" t="s">
        <v>375</v>
      </c>
      <c r="B13">
        <v>0.11899999999999999</v>
      </c>
      <c r="C13">
        <v>0.12</v>
      </c>
    </row>
    <row r="14" spans="1:11" ht="16" customHeight="1">
      <c r="A14" t="s">
        <v>1510</v>
      </c>
      <c r="B14">
        <v>0.108</v>
      </c>
      <c r="C14">
        <v>0.12</v>
      </c>
    </row>
    <row r="15" spans="1:11" ht="16" customHeight="1">
      <c r="A15" t="s">
        <v>1511</v>
      </c>
      <c r="B15">
        <v>8.7999999999999995E-2</v>
      </c>
      <c r="C15">
        <v>0.12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7848-6AC8-4D2B-A591-DC7820F266ED}">
  <dimension ref="B1:M195"/>
  <sheetViews>
    <sheetView workbookViewId="0">
      <pane ySplit="4" topLeftCell="A5" activePane="bottomLeft" state="frozen"/>
      <selection pane="bottomLeft"/>
    </sheetView>
  </sheetViews>
  <sheetFormatPr baseColWidth="10" defaultColWidth="7.83203125" defaultRowHeight="15" customHeight="1"/>
  <cols>
    <col min="1" max="1" width="3.83203125" customWidth="1"/>
    <col min="2" max="2" width="78.83203125" customWidth="1"/>
    <col min="3" max="3" width="23.33203125" customWidth="1"/>
    <col min="4" max="4" width="35.1640625" customWidth="1"/>
    <col min="5" max="5" width="18" customWidth="1"/>
    <col min="6" max="6" width="29.33203125" customWidth="1"/>
    <col min="7" max="7" width="41.33203125" customWidth="1"/>
    <col min="8" max="8" width="17.6640625" customWidth="1"/>
  </cols>
  <sheetData>
    <row r="1" spans="2:13" ht="18.75" customHeight="1">
      <c r="B1" s="656" t="s">
        <v>1512</v>
      </c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</row>
    <row r="2" spans="2:13" ht="14.25" customHeight="1">
      <c r="B2" s="657" t="s">
        <v>496</v>
      </c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</row>
    <row r="5" spans="2:13" ht="16.5" customHeight="1">
      <c r="B5" s="654" t="s">
        <v>1513</v>
      </c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</row>
    <row r="6" spans="2:13" ht="22.5" customHeight="1">
      <c r="B6" s="639" t="s">
        <v>1514</v>
      </c>
      <c r="C6" s="640"/>
      <c r="D6" s="640"/>
      <c r="E6" s="640"/>
      <c r="F6" s="640"/>
      <c r="G6" s="640"/>
      <c r="H6" s="641"/>
    </row>
    <row r="7" spans="2:13" ht="15" customHeight="1">
      <c r="B7" s="470"/>
      <c r="H7" s="471"/>
    </row>
    <row r="8" spans="2:13" ht="16.5" customHeight="1">
      <c r="B8" s="642" t="s">
        <v>1515</v>
      </c>
      <c r="C8" s="540"/>
      <c r="D8" s="540"/>
      <c r="E8" s="540"/>
      <c r="F8" s="540"/>
      <c r="G8" s="540"/>
      <c r="H8" s="643"/>
    </row>
    <row r="9" spans="2:13" ht="16.5" customHeight="1">
      <c r="B9" s="642" t="s">
        <v>1516</v>
      </c>
      <c r="C9" s="540"/>
      <c r="D9" s="540"/>
      <c r="E9" s="540"/>
      <c r="F9" s="540"/>
      <c r="G9" s="540"/>
      <c r="H9" s="643"/>
    </row>
    <row r="10" spans="2:13" ht="15" customHeight="1">
      <c r="B10" s="470"/>
      <c r="H10" s="471"/>
    </row>
    <row r="11" spans="2:13" ht="15" customHeight="1">
      <c r="B11" s="472" t="s">
        <v>1517</v>
      </c>
      <c r="H11" s="471"/>
    </row>
    <row r="12" spans="2:13" ht="16.5" customHeight="1">
      <c r="B12" s="644" t="s">
        <v>1518</v>
      </c>
      <c r="C12" s="540"/>
      <c r="D12" s="540"/>
      <c r="E12" s="540"/>
      <c r="F12" s="540"/>
      <c r="G12" s="540"/>
      <c r="H12" s="643"/>
    </row>
    <row r="13" spans="2:13" ht="16.5" customHeight="1">
      <c r="B13" s="645" t="s">
        <v>1519</v>
      </c>
      <c r="C13" s="540"/>
      <c r="D13" s="540"/>
      <c r="E13" s="540"/>
      <c r="F13" s="540"/>
      <c r="G13" s="540"/>
      <c r="H13" s="643"/>
    </row>
    <row r="14" spans="2:13" ht="16.5" customHeight="1">
      <c r="B14" s="646" t="s">
        <v>1520</v>
      </c>
      <c r="C14" s="647"/>
      <c r="D14" s="647"/>
      <c r="E14" s="647"/>
      <c r="F14" s="647"/>
      <c r="G14" s="647"/>
      <c r="H14" s="648"/>
    </row>
    <row r="16" spans="2:13" ht="15" customHeight="1">
      <c r="B16" s="473" t="s">
        <v>500</v>
      </c>
      <c r="C16" s="473" t="s">
        <v>62</v>
      </c>
      <c r="D16" s="473" t="s">
        <v>1521</v>
      </c>
      <c r="E16" s="473" t="s">
        <v>1522</v>
      </c>
      <c r="F16" s="473" t="s">
        <v>502</v>
      </c>
    </row>
    <row r="17" spans="2:13" ht="15.75" customHeight="1">
      <c r="B17" s="474" t="s">
        <v>1234</v>
      </c>
      <c r="C17" s="475">
        <v>43</v>
      </c>
      <c r="D17" s="475">
        <v>43</v>
      </c>
      <c r="E17" s="475">
        <v>43</v>
      </c>
      <c r="F17" t="s">
        <v>516</v>
      </c>
    </row>
    <row r="18" spans="2:13" ht="15.75" customHeight="1">
      <c r="B18" s="476" t="s">
        <v>1523</v>
      </c>
      <c r="C18" s="477">
        <v>35.700000000000003</v>
      </c>
      <c r="D18" s="477">
        <v>35.700000000000003</v>
      </c>
      <c r="E18" s="477">
        <v>35.700000000000003</v>
      </c>
    </row>
    <row r="19" spans="2:13" ht="15.75" customHeight="1">
      <c r="B19" s="474" t="s">
        <v>1524</v>
      </c>
      <c r="C19" s="475">
        <v>7.3</v>
      </c>
      <c r="D19" s="475">
        <v>7.3</v>
      </c>
      <c r="E19" s="475">
        <v>7.3</v>
      </c>
    </row>
    <row r="20" spans="2:13" ht="15" customHeight="1">
      <c r="B20" s="474"/>
    </row>
    <row r="21" spans="2:13" ht="15.75" customHeight="1">
      <c r="B21" s="474" t="s">
        <v>1525</v>
      </c>
      <c r="C21" s="475">
        <v>17.2</v>
      </c>
      <c r="D21" s="475">
        <v>12.9</v>
      </c>
      <c r="E21" s="475">
        <v>8.6</v>
      </c>
      <c r="F21" t="s">
        <v>1526</v>
      </c>
    </row>
    <row r="22" spans="2:13" ht="15.75" customHeight="1">
      <c r="B22" s="476" t="s">
        <v>1527</v>
      </c>
      <c r="C22" s="477">
        <v>25.8</v>
      </c>
      <c r="D22" s="477">
        <v>30.1</v>
      </c>
      <c r="E22" s="477">
        <v>34.4</v>
      </c>
      <c r="F22" s="478" t="s">
        <v>1528</v>
      </c>
    </row>
    <row r="23" spans="2:13" ht="15" customHeight="1">
      <c r="B23" s="474"/>
    </row>
    <row r="24" spans="2:13" ht="15.75" customHeight="1">
      <c r="B24" s="476" t="s">
        <v>1529</v>
      </c>
      <c r="C24" s="477">
        <v>14.28</v>
      </c>
      <c r="D24" s="477">
        <v>10.71</v>
      </c>
      <c r="E24" s="477">
        <v>7.14</v>
      </c>
      <c r="F24" s="478" t="s">
        <v>1530</v>
      </c>
    </row>
    <row r="25" spans="2:13" ht="15.75" customHeight="1">
      <c r="B25" s="474" t="s">
        <v>1531</v>
      </c>
      <c r="C25" s="475">
        <v>21.42</v>
      </c>
      <c r="D25" s="475">
        <v>24.99</v>
      </c>
      <c r="E25" s="475">
        <v>28.56</v>
      </c>
    </row>
    <row r="26" spans="2:13" ht="15.75" customHeight="1">
      <c r="B26" s="476" t="s">
        <v>1532</v>
      </c>
      <c r="C26" s="477">
        <v>2.92</v>
      </c>
      <c r="D26" s="477">
        <v>2.19</v>
      </c>
      <c r="E26" s="477">
        <v>1.46</v>
      </c>
      <c r="F26" s="478" t="s">
        <v>1533</v>
      </c>
    </row>
    <row r="27" spans="2:13" ht="15.75" customHeight="1">
      <c r="B27" s="474" t="s">
        <v>1534</v>
      </c>
      <c r="C27" s="475">
        <v>4.38</v>
      </c>
      <c r="D27" s="475">
        <v>5.1100000000000003</v>
      </c>
      <c r="E27" s="475">
        <v>5.84</v>
      </c>
    </row>
    <row r="28" spans="2:13" ht="15" customHeight="1">
      <c r="B28" s="474"/>
    </row>
    <row r="29" spans="2:13" ht="15.75" customHeight="1">
      <c r="B29" s="474" t="s">
        <v>1535</v>
      </c>
      <c r="C29" t="s">
        <v>1536</v>
      </c>
      <c r="D29" t="s">
        <v>1537</v>
      </c>
      <c r="E29" t="s">
        <v>1538</v>
      </c>
      <c r="F29" t="s">
        <v>1539</v>
      </c>
    </row>
    <row r="31" spans="2:13" ht="16.5" customHeight="1">
      <c r="B31" s="654" t="s">
        <v>1540</v>
      </c>
      <c r="C31" s="540"/>
      <c r="D31" s="540"/>
      <c r="E31" s="540"/>
      <c r="F31" s="540"/>
      <c r="G31" s="540"/>
      <c r="H31" s="540"/>
      <c r="I31" s="540"/>
      <c r="J31" s="540"/>
      <c r="K31" s="540"/>
      <c r="L31" s="540"/>
      <c r="M31" s="540"/>
    </row>
    <row r="33" spans="2:8" ht="15" customHeight="1">
      <c r="B33" s="473" t="s">
        <v>708</v>
      </c>
      <c r="C33" s="479" t="s">
        <v>1541</v>
      </c>
      <c r="D33" s="479" t="s">
        <v>1542</v>
      </c>
      <c r="E33" s="479" t="s">
        <v>1543</v>
      </c>
      <c r="F33" s="479" t="s">
        <v>1544</v>
      </c>
      <c r="G33" s="479" t="s">
        <v>1545</v>
      </c>
      <c r="H33" s="479" t="s">
        <v>1546</v>
      </c>
    </row>
    <row r="34" spans="2:8" ht="15.75" customHeight="1">
      <c r="B34" s="478" t="s">
        <v>331</v>
      </c>
      <c r="C34" s="480">
        <v>1.2138</v>
      </c>
      <c r="D34" s="480">
        <v>0</v>
      </c>
      <c r="E34" s="480">
        <v>0.9103500000000001</v>
      </c>
      <c r="F34" s="480">
        <v>0</v>
      </c>
      <c r="G34" s="480">
        <v>0.6069</v>
      </c>
      <c r="H34" s="480">
        <v>0</v>
      </c>
    </row>
    <row r="35" spans="2:8" ht="15.75" customHeight="1">
      <c r="B35" t="s">
        <v>332</v>
      </c>
      <c r="C35" s="481">
        <v>1.2138</v>
      </c>
      <c r="D35" s="481">
        <v>0</v>
      </c>
      <c r="E35" s="481">
        <v>0.9103500000000001</v>
      </c>
      <c r="F35" s="481">
        <v>0</v>
      </c>
      <c r="G35" s="481">
        <v>0.6069</v>
      </c>
      <c r="H35" s="481">
        <v>0</v>
      </c>
    </row>
    <row r="36" spans="2:8" ht="15.75" customHeight="1">
      <c r="B36" s="478" t="s">
        <v>333</v>
      </c>
      <c r="C36" s="480">
        <v>1.2138</v>
      </c>
      <c r="D36" s="480">
        <v>1.7849999999999999</v>
      </c>
      <c r="E36" s="480">
        <v>0.9103500000000001</v>
      </c>
      <c r="F36" s="480">
        <v>1.3387500000000001</v>
      </c>
      <c r="G36" s="480">
        <v>0.6069</v>
      </c>
      <c r="H36" s="480">
        <v>0.89249999999999996</v>
      </c>
    </row>
    <row r="37" spans="2:8" ht="15.75" customHeight="1">
      <c r="B37" t="s">
        <v>794</v>
      </c>
      <c r="C37" s="481">
        <v>1.3102750000000001</v>
      </c>
      <c r="D37" s="481">
        <v>2.202142857142857</v>
      </c>
      <c r="E37" s="481">
        <v>0.98270625</v>
      </c>
      <c r="F37" s="481">
        <v>1.6516071428571428</v>
      </c>
      <c r="G37" s="481">
        <v>0.65513750000000004</v>
      </c>
      <c r="H37" s="481">
        <v>1.1010714285714285</v>
      </c>
    </row>
    <row r="38" spans="2:8" ht="15.75" customHeight="1">
      <c r="B38" s="478" t="s">
        <v>334</v>
      </c>
      <c r="C38" s="480">
        <v>1.1230928571428571</v>
      </c>
      <c r="D38" s="480">
        <v>2.202142857142857</v>
      </c>
      <c r="E38" s="480">
        <v>0.84231964285714278</v>
      </c>
      <c r="F38" s="480">
        <v>1.6516071428571428</v>
      </c>
      <c r="G38" s="480">
        <v>0.56154642857142856</v>
      </c>
      <c r="H38" s="480">
        <v>1.1010714285714285</v>
      </c>
    </row>
    <row r="39" spans="2:8" ht="15.75" customHeight="1">
      <c r="B39" t="s">
        <v>795</v>
      </c>
      <c r="C39" s="481">
        <v>0.93591071428571426</v>
      </c>
      <c r="D39" s="481">
        <v>2.202142857142857</v>
      </c>
      <c r="E39" s="481">
        <v>0.70193303571428567</v>
      </c>
      <c r="F39" s="481">
        <v>1.6516071428571428</v>
      </c>
      <c r="G39" s="481">
        <v>0.46795535714285713</v>
      </c>
      <c r="H39" s="481">
        <v>1.1010714285714285</v>
      </c>
    </row>
    <row r="40" spans="2:8" ht="15.75" customHeight="1">
      <c r="B40" s="478" t="s">
        <v>335</v>
      </c>
      <c r="C40" s="480">
        <v>0.7487285714285713</v>
      </c>
      <c r="D40" s="480">
        <v>2.202142857142857</v>
      </c>
      <c r="E40" s="480">
        <v>0.56154642857142856</v>
      </c>
      <c r="F40" s="480">
        <v>1.6516071428571428</v>
      </c>
      <c r="G40" s="480">
        <v>0.37436428571428565</v>
      </c>
      <c r="H40" s="480">
        <v>1.1010714285714285</v>
      </c>
    </row>
    <row r="41" spans="2:8" ht="15.75" customHeight="1">
      <c r="B41" t="s">
        <v>796</v>
      </c>
      <c r="C41" s="481">
        <v>0.56154642857142845</v>
      </c>
      <c r="D41" s="481">
        <v>2.202142857142857</v>
      </c>
      <c r="E41" s="481">
        <v>0.42115982142857133</v>
      </c>
      <c r="F41" s="481">
        <v>1.6516071428571428</v>
      </c>
      <c r="G41" s="481">
        <v>0.28077321428571422</v>
      </c>
      <c r="H41" s="481">
        <v>1.1010714285714285</v>
      </c>
    </row>
    <row r="42" spans="2:8" ht="15.75" customHeight="1">
      <c r="B42" s="478" t="s">
        <v>552</v>
      </c>
      <c r="C42" s="480">
        <v>0.37436428571428554</v>
      </c>
      <c r="D42" s="480">
        <v>2.202142857142857</v>
      </c>
      <c r="E42" s="480">
        <v>0.28077321428571422</v>
      </c>
      <c r="F42" s="480">
        <v>1.6516071428571428</v>
      </c>
      <c r="G42" s="480">
        <v>0.18718214285714277</v>
      </c>
      <c r="H42" s="480">
        <v>1.1010714285714285</v>
      </c>
    </row>
    <row r="43" spans="2:8" ht="15.75" customHeight="1">
      <c r="B43" t="s">
        <v>336</v>
      </c>
      <c r="C43" s="481">
        <v>0.18718214285714271</v>
      </c>
      <c r="D43" s="481">
        <v>2.202142857142857</v>
      </c>
      <c r="E43" s="481">
        <v>0.14038660714285703</v>
      </c>
      <c r="F43" s="481">
        <v>1.6516071428571428</v>
      </c>
      <c r="G43" s="481">
        <v>9.3591071428571357E-2</v>
      </c>
      <c r="H43" s="481">
        <v>1.1010714285714285</v>
      </c>
    </row>
    <row r="45" spans="2:8" ht="15.75" customHeight="1">
      <c r="B45" s="474" t="s">
        <v>1547</v>
      </c>
      <c r="C45" s="481">
        <v>8.8824999999999985</v>
      </c>
      <c r="E45" s="481">
        <v>6.6618750000000002</v>
      </c>
      <c r="G45" s="481">
        <v>4.4412499999999993</v>
      </c>
    </row>
    <row r="46" spans="2:8" ht="15.75" customHeight="1">
      <c r="B46" s="474" t="s">
        <v>1548</v>
      </c>
      <c r="D46" s="481">
        <v>17.199999999999996</v>
      </c>
      <c r="F46" s="481">
        <v>12.900000000000002</v>
      </c>
      <c r="H46" s="481">
        <v>8.5999999999999979</v>
      </c>
    </row>
    <row r="47" spans="2:8" ht="15.75" customHeight="1">
      <c r="B47" s="482" t="s">
        <v>1549</v>
      </c>
      <c r="C47" s="483">
        <v>26.082499999999996</v>
      </c>
      <c r="E47" s="483">
        <v>19.561875000000001</v>
      </c>
      <c r="G47" s="483">
        <v>13.041249999999998</v>
      </c>
    </row>
    <row r="51" spans="2:13" ht="16.5" customHeight="1">
      <c r="B51" s="654" t="s">
        <v>1550</v>
      </c>
      <c r="C51" s="540"/>
      <c r="D51" s="540"/>
      <c r="E51" s="540"/>
      <c r="F51" s="540"/>
      <c r="G51" s="540"/>
      <c r="H51" s="540"/>
      <c r="I51" s="540"/>
      <c r="J51" s="540"/>
      <c r="K51" s="540"/>
      <c r="L51" s="540"/>
      <c r="M51" s="540"/>
    </row>
    <row r="53" spans="2:13" ht="15" customHeight="1">
      <c r="B53" s="473" t="s">
        <v>708</v>
      </c>
      <c r="C53" s="473" t="s">
        <v>1551</v>
      </c>
      <c r="D53" s="473" t="s">
        <v>1552</v>
      </c>
      <c r="E53" s="473" t="s">
        <v>1553</v>
      </c>
      <c r="F53" s="473" t="s">
        <v>502</v>
      </c>
    </row>
    <row r="54" spans="2:13" ht="15.75" customHeight="1">
      <c r="B54" s="478" t="s">
        <v>331</v>
      </c>
      <c r="C54" s="480">
        <v>-21.633800000000001</v>
      </c>
      <c r="D54" s="480">
        <v>-24.90035</v>
      </c>
      <c r="E54" s="480">
        <v>-28.166899999999998</v>
      </c>
      <c r="F54" s="478" t="s">
        <v>1554</v>
      </c>
    </row>
    <row r="55" spans="2:13" ht="15.75" customHeight="1">
      <c r="B55" t="s">
        <v>332</v>
      </c>
      <c r="C55" s="481">
        <v>2.1396499999999996</v>
      </c>
      <c r="D55" s="481">
        <v>2.3672374999999994</v>
      </c>
      <c r="E55" s="481">
        <v>2.5948249999999993</v>
      </c>
    </row>
    <row r="56" spans="2:13" ht="15.75" customHeight="1">
      <c r="B56" s="478" t="s">
        <v>333</v>
      </c>
      <c r="C56" s="480">
        <v>1.6546500000000002</v>
      </c>
      <c r="D56" s="480">
        <v>2.3284874999999992</v>
      </c>
      <c r="E56" s="480">
        <v>3.0023249999999995</v>
      </c>
      <c r="F56" s="478"/>
    </row>
    <row r="57" spans="2:13" ht="15.75" customHeight="1">
      <c r="B57" t="s">
        <v>794</v>
      </c>
      <c r="C57" s="481">
        <v>-10.114849107142856</v>
      </c>
      <c r="D57" s="481">
        <v>-10.048636830357143</v>
      </c>
      <c r="E57" s="481">
        <v>-9.9824245535714269</v>
      </c>
      <c r="F57" t="s">
        <v>1555</v>
      </c>
    </row>
    <row r="58" spans="2:13" ht="15.75" customHeight="1">
      <c r="B58" s="478" t="s">
        <v>334</v>
      </c>
      <c r="C58" s="480">
        <v>2.7805375000000003</v>
      </c>
      <c r="D58" s="480">
        <v>3.5416531250000007</v>
      </c>
      <c r="E58" s="480">
        <v>4.3027687500000003</v>
      </c>
      <c r="F58" s="478"/>
    </row>
    <row r="59" spans="2:13" ht="15.75" customHeight="1">
      <c r="B59" t="s">
        <v>795</v>
      </c>
      <c r="C59" s="481">
        <v>3.2209241071428574</v>
      </c>
      <c r="D59" s="481">
        <v>3.9469430803571428</v>
      </c>
      <c r="E59" s="481">
        <v>4.6729620535714291</v>
      </c>
    </row>
    <row r="60" spans="2:13" ht="15.75" customHeight="1">
      <c r="B60" s="478" t="s">
        <v>335</v>
      </c>
      <c r="C60" s="480">
        <v>3.5863107142857151</v>
      </c>
      <c r="D60" s="480">
        <v>4.2772330357142865</v>
      </c>
      <c r="E60" s="480">
        <v>4.9681553571428578</v>
      </c>
      <c r="F60" s="478"/>
    </row>
    <row r="61" spans="2:13" ht="15.75" customHeight="1">
      <c r="B61" t="s">
        <v>796</v>
      </c>
      <c r="C61" s="481">
        <v>3.9516973214285724</v>
      </c>
      <c r="D61" s="481">
        <v>4.6075229910714297</v>
      </c>
      <c r="E61" s="481">
        <v>5.2633486607142865</v>
      </c>
    </row>
    <row r="62" spans="2:13" ht="15.75" customHeight="1">
      <c r="B62" s="478" t="s">
        <v>552</v>
      </c>
      <c r="C62" s="480">
        <v>4.3170839285714289</v>
      </c>
      <c r="D62" s="480">
        <v>4.9378129464285712</v>
      </c>
      <c r="E62" s="480">
        <v>5.5585419642857152</v>
      </c>
      <c r="F62" s="478"/>
    </row>
    <row r="63" spans="2:13" ht="15.75" customHeight="1">
      <c r="B63" t="s">
        <v>336</v>
      </c>
      <c r="C63" s="481">
        <v>103.18247053571429</v>
      </c>
      <c r="D63" s="481">
        <v>103.76810290178571</v>
      </c>
      <c r="E63" s="481">
        <v>104.35373526785715</v>
      </c>
      <c r="F63" t="s">
        <v>1556</v>
      </c>
    </row>
    <row r="65" spans="2:13" ht="15.75" customHeight="1">
      <c r="B65" s="474" t="s">
        <v>1557</v>
      </c>
      <c r="C65" s="481">
        <v>-25.173811607142856</v>
      </c>
      <c r="D65" s="481">
        <v>-26.711608705357147</v>
      </c>
      <c r="E65" s="481">
        <v>-28.249405803571427</v>
      </c>
    </row>
    <row r="66" spans="2:13" ht="15.75" customHeight="1">
      <c r="B66" s="474" t="s">
        <v>1558</v>
      </c>
      <c r="C66" s="481">
        <v>93.084675000000004</v>
      </c>
      <c r="D66" s="481">
        <v>94.826006249999992</v>
      </c>
      <c r="E66" s="481">
        <v>96.567337500000008</v>
      </c>
    </row>
    <row r="67" spans="2:13" ht="15.75" customHeight="1">
      <c r="B67" s="474" t="s">
        <v>1559</v>
      </c>
      <c r="C67" s="481">
        <v>25.8</v>
      </c>
      <c r="D67" s="481">
        <v>30.1</v>
      </c>
      <c r="E67" s="481">
        <v>34.4</v>
      </c>
    </row>
    <row r="68" spans="2:13" ht="15.75" customHeight="1">
      <c r="B68" s="484" t="s">
        <v>1560</v>
      </c>
      <c r="C68" s="485">
        <v>93.084675000000004</v>
      </c>
      <c r="D68" s="485">
        <v>94.826006249999992</v>
      </c>
      <c r="E68" s="485">
        <v>96.567337500000008</v>
      </c>
    </row>
    <row r="71" spans="2:13" ht="16.5" customHeight="1">
      <c r="B71" s="654" t="s">
        <v>1561</v>
      </c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</row>
    <row r="73" spans="2:13" ht="15" customHeight="1">
      <c r="B73" s="473" t="s">
        <v>16</v>
      </c>
      <c r="C73" s="473" t="s">
        <v>1562</v>
      </c>
      <c r="D73" s="473" t="s">
        <v>1521</v>
      </c>
      <c r="E73" s="473" t="s">
        <v>1522</v>
      </c>
      <c r="F73" s="473" t="s">
        <v>1022</v>
      </c>
      <c r="G73" s="473" t="s">
        <v>1563</v>
      </c>
    </row>
    <row r="74" spans="2:13" ht="15.75" customHeight="1">
      <c r="B74" s="476" t="s">
        <v>378</v>
      </c>
      <c r="C74" s="486">
        <v>0.20854911831666217</v>
      </c>
      <c r="D74" s="486">
        <v>0.20083423023568378</v>
      </c>
      <c r="E74" s="486">
        <v>0.19415544243436081</v>
      </c>
      <c r="F74" s="487" t="s">
        <v>1562</v>
      </c>
      <c r="G74" t="s">
        <v>1564</v>
      </c>
    </row>
    <row r="75" spans="2:13" ht="15.75" customHeight="1">
      <c r="B75" s="456" t="s">
        <v>1565</v>
      </c>
      <c r="C75" s="481">
        <v>0.69</v>
      </c>
      <c r="D75" s="481">
        <v>4.8</v>
      </c>
      <c r="E75" s="481">
        <v>2.5</v>
      </c>
      <c r="F75" s="487" t="s">
        <v>1562</v>
      </c>
      <c r="G75" s="488" t="s">
        <v>1566</v>
      </c>
    </row>
    <row r="76" spans="2:13" ht="15.75" customHeight="1">
      <c r="B76" s="476" t="s">
        <v>1567</v>
      </c>
      <c r="C76" s="478" t="s">
        <v>1568</v>
      </c>
      <c r="D76" s="478" t="s">
        <v>1569</v>
      </c>
      <c r="E76" s="478" t="s">
        <v>1570</v>
      </c>
      <c r="F76" s="487" t="s">
        <v>1562</v>
      </c>
      <c r="G76" t="s">
        <v>1571</v>
      </c>
    </row>
    <row r="77" spans="2:13" ht="15.75" customHeight="1">
      <c r="B77" s="474" t="s">
        <v>551</v>
      </c>
      <c r="C77" s="489">
        <v>98.5</v>
      </c>
      <c r="D77" s="489">
        <v>98.5</v>
      </c>
      <c r="E77" s="489">
        <v>98.5</v>
      </c>
      <c r="F77" s="490" t="s">
        <v>1572</v>
      </c>
      <c r="G77" t="s">
        <v>1573</v>
      </c>
    </row>
    <row r="78" spans="2:13" ht="15.75" customHeight="1">
      <c r="B78" s="476" t="s">
        <v>1574</v>
      </c>
      <c r="C78" s="478" t="s">
        <v>1575</v>
      </c>
      <c r="D78" s="478" t="s">
        <v>1576</v>
      </c>
      <c r="E78" s="478" t="s">
        <v>1577</v>
      </c>
      <c r="F78" s="491" t="s">
        <v>1522</v>
      </c>
      <c r="G78" s="488" t="s">
        <v>1578</v>
      </c>
    </row>
    <row r="79" spans="2:13" ht="15.75" customHeight="1">
      <c r="B79" s="474" t="s">
        <v>1579</v>
      </c>
      <c r="C79" t="s">
        <v>1580</v>
      </c>
      <c r="D79" t="s">
        <v>1581</v>
      </c>
      <c r="E79" t="s">
        <v>1582</v>
      </c>
      <c r="F79" s="491" t="s">
        <v>1522</v>
      </c>
      <c r="G79" t="s">
        <v>1583</v>
      </c>
    </row>
    <row r="80" spans="2:13" ht="15.75" customHeight="1">
      <c r="B80" s="476" t="s">
        <v>1584</v>
      </c>
      <c r="C80" s="478" t="s">
        <v>1585</v>
      </c>
      <c r="D80" s="478" t="s">
        <v>1586</v>
      </c>
      <c r="E80" s="478" t="s">
        <v>1587</v>
      </c>
      <c r="F80" s="491" t="s">
        <v>1522</v>
      </c>
      <c r="G80" t="s">
        <v>1588</v>
      </c>
    </row>
    <row r="81" spans="2:13" ht="15.75" customHeight="1">
      <c r="B81" s="474" t="s">
        <v>1589</v>
      </c>
      <c r="C81" t="s">
        <v>66</v>
      </c>
      <c r="D81" t="s">
        <v>1590</v>
      </c>
      <c r="E81" t="s">
        <v>1591</v>
      </c>
      <c r="F81" s="491" t="s">
        <v>1522</v>
      </c>
      <c r="G81" t="s">
        <v>1592</v>
      </c>
    </row>
    <row r="91" spans="2:13" ht="16.5" customHeight="1">
      <c r="B91" s="654" t="s">
        <v>1593</v>
      </c>
      <c r="C91" s="540"/>
      <c r="D91" s="540"/>
      <c r="E91" s="540"/>
      <c r="F91" s="540"/>
      <c r="G91" s="540"/>
      <c r="H91" s="540"/>
      <c r="I91" s="540"/>
      <c r="J91" s="540"/>
      <c r="K91" s="540"/>
      <c r="L91" s="540"/>
      <c r="M91" s="540"/>
    </row>
    <row r="93" spans="2:13" ht="15" customHeight="1">
      <c r="B93" s="473" t="s">
        <v>107</v>
      </c>
      <c r="C93" s="473" t="s">
        <v>1594</v>
      </c>
      <c r="D93" s="473" t="s">
        <v>1595</v>
      </c>
      <c r="E93" s="473" t="s">
        <v>1596</v>
      </c>
      <c r="F93" s="473" t="s">
        <v>1597</v>
      </c>
    </row>
    <row r="94" spans="2:13" ht="15.75" customHeight="1">
      <c r="B94" s="474" t="s">
        <v>1598</v>
      </c>
      <c r="C94" t="s">
        <v>114</v>
      </c>
      <c r="D94" t="s">
        <v>1599</v>
      </c>
      <c r="E94" t="s">
        <v>1600</v>
      </c>
      <c r="F94" s="487" t="s">
        <v>1562</v>
      </c>
    </row>
    <row r="95" spans="2:13" ht="15.75" customHeight="1">
      <c r="B95" s="482" t="s">
        <v>118</v>
      </c>
      <c r="C95" s="12" t="s">
        <v>39</v>
      </c>
      <c r="D95" s="12" t="s">
        <v>1601</v>
      </c>
      <c r="E95" s="12" t="s">
        <v>1602</v>
      </c>
      <c r="F95" s="491" t="s">
        <v>1562</v>
      </c>
    </row>
    <row r="96" spans="2:13" ht="15.75" customHeight="1">
      <c r="B96" s="474" t="s">
        <v>1603</v>
      </c>
      <c r="C96" t="s">
        <v>123</v>
      </c>
      <c r="D96" t="s">
        <v>1604</v>
      </c>
      <c r="E96" t="s">
        <v>1605</v>
      </c>
      <c r="F96" s="487" t="s">
        <v>1562</v>
      </c>
    </row>
    <row r="99" spans="2:13" ht="15" customHeight="1">
      <c r="B99" s="474" t="s">
        <v>1606</v>
      </c>
    </row>
    <row r="100" spans="2:13" ht="15.75" customHeight="1">
      <c r="B100" s="474" t="s">
        <v>1607</v>
      </c>
      <c r="C100" s="12" t="s">
        <v>66</v>
      </c>
      <c r="D100" s="478" t="s">
        <v>78</v>
      </c>
      <c r="E100" s="14" t="s">
        <v>1608</v>
      </c>
    </row>
    <row r="101" spans="2:13" ht="15.75" customHeight="1">
      <c r="B101" s="474" t="s">
        <v>1609</v>
      </c>
      <c r="C101" s="12" t="s">
        <v>1610</v>
      </c>
      <c r="D101" s="478" t="s">
        <v>1611</v>
      </c>
      <c r="E101" s="14" t="s">
        <v>95</v>
      </c>
    </row>
    <row r="102" spans="2:13" ht="15.75" customHeight="1">
      <c r="B102" s="474" t="s">
        <v>1612</v>
      </c>
      <c r="C102" s="12" t="s">
        <v>1613</v>
      </c>
      <c r="D102" s="478" t="s">
        <v>66</v>
      </c>
      <c r="E102" s="14" t="s">
        <v>1614</v>
      </c>
    </row>
    <row r="106" spans="2:13" ht="16.5" customHeight="1">
      <c r="B106" s="654" t="s">
        <v>1615</v>
      </c>
      <c r="C106" s="540"/>
      <c r="D106" s="540"/>
      <c r="E106" s="540"/>
      <c r="F106" s="540"/>
      <c r="G106" s="540"/>
      <c r="H106" s="540"/>
      <c r="I106" s="540"/>
      <c r="J106" s="540"/>
      <c r="K106" s="540"/>
      <c r="L106" s="540"/>
      <c r="M106" s="540"/>
    </row>
    <row r="108" spans="2:13" ht="15" customHeight="1">
      <c r="B108" s="473" t="s">
        <v>1616</v>
      </c>
      <c r="C108" s="492" t="s">
        <v>1617</v>
      </c>
      <c r="D108" s="493" t="s">
        <v>577</v>
      </c>
    </row>
    <row r="109" spans="2:13" ht="15.75" customHeight="1">
      <c r="B109" s="474" t="s">
        <v>1618</v>
      </c>
      <c r="C109" s="490" t="s">
        <v>1562</v>
      </c>
      <c r="D109" t="s">
        <v>1619</v>
      </c>
    </row>
    <row r="110" spans="2:13" ht="15.75" customHeight="1">
      <c r="B110" s="649" t="s">
        <v>1620</v>
      </c>
      <c r="C110" s="650" t="s">
        <v>1521</v>
      </c>
      <c r="D110" s="540" t="s">
        <v>1621</v>
      </c>
      <c r="E110" s="540"/>
      <c r="F110" s="540"/>
      <c r="G110" s="540"/>
    </row>
    <row r="111" spans="2:13" ht="15.75" customHeight="1">
      <c r="B111" s="651" t="s">
        <v>1622</v>
      </c>
      <c r="C111" s="652" t="s">
        <v>1522</v>
      </c>
      <c r="D111" s="540" t="s">
        <v>1623</v>
      </c>
      <c r="E111" s="540"/>
      <c r="F111" s="540"/>
      <c r="G111" s="540"/>
    </row>
    <row r="113" spans="2:8" ht="16.5" customHeight="1">
      <c r="B113" s="494" t="s">
        <v>1624</v>
      </c>
      <c r="C113" s="655" t="s">
        <v>1625</v>
      </c>
      <c r="D113" s="540"/>
    </row>
    <row r="114" spans="2:8" ht="15.75" customHeight="1">
      <c r="B114" s="540" t="s">
        <v>1626</v>
      </c>
      <c r="C114" s="540"/>
      <c r="D114" s="540"/>
      <c r="E114" s="540"/>
      <c r="F114" s="540"/>
    </row>
    <row r="116" spans="2:8" ht="15" customHeight="1">
      <c r="B116" s="474" t="s">
        <v>1627</v>
      </c>
    </row>
    <row r="117" spans="2:8" ht="14.25" customHeight="1">
      <c r="B117" s="495" t="s">
        <v>1628</v>
      </c>
    </row>
    <row r="118" spans="2:8" ht="14.25" customHeight="1">
      <c r="B118" s="495" t="s">
        <v>1629</v>
      </c>
    </row>
    <row r="119" spans="2:8" ht="14.25" customHeight="1">
      <c r="B119" s="495" t="s">
        <v>1630</v>
      </c>
    </row>
    <row r="120" spans="2:8" ht="14.25" customHeight="1">
      <c r="B120" s="495" t="s">
        <v>1631</v>
      </c>
    </row>
    <row r="122" spans="2:8" ht="17.25" customHeight="1">
      <c r="B122" s="552" t="s">
        <v>1632</v>
      </c>
      <c r="C122" s="540"/>
      <c r="D122" s="540"/>
      <c r="E122" s="540"/>
      <c r="F122" s="540"/>
      <c r="G122" s="540"/>
      <c r="H122" s="540"/>
    </row>
    <row r="124" spans="2:8" ht="15" customHeight="1">
      <c r="B124" s="10" t="s">
        <v>16</v>
      </c>
      <c r="C124" s="10" t="s">
        <v>1562</v>
      </c>
      <c r="D124" s="10" t="s">
        <v>1521</v>
      </c>
      <c r="E124" s="10" t="s">
        <v>1522</v>
      </c>
    </row>
    <row r="125" spans="2:8" ht="15" customHeight="1">
      <c r="B125" t="s">
        <v>1633</v>
      </c>
      <c r="C125" s="489">
        <v>20.9</v>
      </c>
      <c r="D125" s="489">
        <v>20.100000000000001</v>
      </c>
      <c r="E125" s="489">
        <v>19.399999999999999</v>
      </c>
    </row>
    <row r="126" spans="2:8" ht="15" customHeight="1">
      <c r="B126" t="s">
        <v>109</v>
      </c>
      <c r="C126" s="489">
        <v>18.3</v>
      </c>
      <c r="D126" s="489">
        <v>17.899999999999999</v>
      </c>
      <c r="E126" s="489">
        <v>17.5</v>
      </c>
    </row>
    <row r="127" spans="2:8" ht="15" customHeight="1">
      <c r="B127" t="s">
        <v>1634</v>
      </c>
      <c r="C127" s="489">
        <v>2.71</v>
      </c>
      <c r="D127" s="489">
        <v>2.59</v>
      </c>
      <c r="E127" s="489">
        <v>2.48</v>
      </c>
    </row>
    <row r="128" spans="2:8" ht="15" customHeight="1">
      <c r="B128" t="s">
        <v>1635</v>
      </c>
      <c r="C128" s="489">
        <v>2.1</v>
      </c>
      <c r="D128" s="489">
        <v>2.8</v>
      </c>
      <c r="E128" s="489">
        <v>4.2</v>
      </c>
    </row>
    <row r="129" spans="2:5" ht="15" customHeight="1">
      <c r="B129" t="s">
        <v>1636</v>
      </c>
      <c r="C129" s="489">
        <v>14.5</v>
      </c>
      <c r="D129" s="489">
        <v>10.9</v>
      </c>
      <c r="E129" s="489">
        <v>7.2</v>
      </c>
    </row>
    <row r="130" spans="2:5" ht="15" customHeight="1">
      <c r="B130" t="s">
        <v>1637</v>
      </c>
      <c r="C130" s="489">
        <v>25.8</v>
      </c>
      <c r="D130" s="489">
        <v>30.1</v>
      </c>
      <c r="E130" s="489">
        <v>34.4</v>
      </c>
    </row>
    <row r="131" spans="2:5" ht="15" customHeight="1">
      <c r="B131" t="s">
        <v>1638</v>
      </c>
      <c r="C131" s="489">
        <v>58</v>
      </c>
      <c r="D131" s="489">
        <v>52</v>
      </c>
      <c r="E131" s="489">
        <v>45</v>
      </c>
    </row>
    <row r="157" spans="2:13" ht="17.25" customHeight="1">
      <c r="B157" s="552" t="s">
        <v>1639</v>
      </c>
      <c r="C157" s="540"/>
      <c r="D157" s="540"/>
      <c r="E157" s="540"/>
      <c r="F157" s="540"/>
      <c r="G157" s="540"/>
      <c r="H157" s="540"/>
      <c r="I157" s="540"/>
      <c r="J157" s="540"/>
      <c r="K157" s="540"/>
      <c r="L157" s="540"/>
      <c r="M157" s="540"/>
    </row>
    <row r="159" spans="2:13" ht="15" customHeight="1">
      <c r="B159" s="653" t="s">
        <v>1640</v>
      </c>
      <c r="C159" s="540"/>
      <c r="D159" s="540"/>
      <c r="E159" s="540"/>
      <c r="F159" s="540"/>
      <c r="G159" s="540"/>
    </row>
    <row r="161" spans="2:7" ht="15" customHeight="1">
      <c r="B161" s="10" t="s">
        <v>1641</v>
      </c>
      <c r="C161" s="10" t="s">
        <v>435</v>
      </c>
      <c r="D161" s="10" t="s">
        <v>436</v>
      </c>
      <c r="E161" s="10" t="s">
        <v>916</v>
      </c>
      <c r="F161" s="10" t="s">
        <v>438</v>
      </c>
      <c r="G161" s="10" t="s">
        <v>439</v>
      </c>
    </row>
    <row r="162" spans="2:7" ht="15" customHeight="1">
      <c r="B162" s="496" t="s">
        <v>1562</v>
      </c>
      <c r="C162" s="497">
        <v>0.152</v>
      </c>
      <c r="D162" s="498">
        <v>0.18</v>
      </c>
      <c r="E162" s="499">
        <v>0.20899999999999999</v>
      </c>
      <c r="F162" s="499">
        <v>0.23499999999999999</v>
      </c>
      <c r="G162" s="499">
        <v>0.26</v>
      </c>
    </row>
    <row r="163" spans="2:7" ht="15" customHeight="1">
      <c r="B163" s="496" t="s">
        <v>1642</v>
      </c>
      <c r="C163" s="497">
        <v>0.158</v>
      </c>
      <c r="D163" s="498">
        <v>0.182</v>
      </c>
      <c r="E163" s="499">
        <v>0.20499999999999999</v>
      </c>
      <c r="F163" s="499">
        <v>0.22800000000000001</v>
      </c>
      <c r="G163" s="499">
        <v>0.25</v>
      </c>
    </row>
    <row r="164" spans="2:7" ht="15" customHeight="1">
      <c r="B164" s="500" t="s">
        <v>1521</v>
      </c>
      <c r="C164" s="501">
        <v>0.16300000000000001</v>
      </c>
      <c r="D164" s="502">
        <v>0.182</v>
      </c>
      <c r="E164" s="503">
        <v>0.20100000000000001</v>
      </c>
      <c r="F164" s="503">
        <v>0.22</v>
      </c>
      <c r="G164" s="503">
        <v>0.23899999999999999</v>
      </c>
    </row>
    <row r="165" spans="2:7" ht="15" customHeight="1">
      <c r="B165" s="496" t="s">
        <v>1643</v>
      </c>
      <c r="C165" s="497">
        <v>0.16699999999999998</v>
      </c>
      <c r="D165" s="498">
        <v>0.182</v>
      </c>
      <c r="E165" s="498">
        <v>0.19699999999999998</v>
      </c>
      <c r="F165" s="499">
        <v>0.21199999999999999</v>
      </c>
      <c r="G165" s="499">
        <v>0.22699999999999998</v>
      </c>
    </row>
    <row r="166" spans="2:7" ht="15" customHeight="1">
      <c r="B166" s="496" t="s">
        <v>1522</v>
      </c>
      <c r="C166" s="497">
        <v>0.17100000000000001</v>
      </c>
      <c r="D166" s="498">
        <v>0.182</v>
      </c>
      <c r="E166" s="498">
        <v>0.19399999999999998</v>
      </c>
      <c r="F166" s="499">
        <v>0.20499999999999999</v>
      </c>
      <c r="G166" s="499">
        <v>0.21600000000000003</v>
      </c>
    </row>
    <row r="168" spans="2:7" ht="15" customHeight="1">
      <c r="B168" s="653" t="s">
        <v>1644</v>
      </c>
      <c r="C168" s="540"/>
      <c r="D168" s="540"/>
      <c r="E168" s="540"/>
      <c r="F168" s="540"/>
      <c r="G168" s="540"/>
    </row>
    <row r="170" spans="2:7" ht="15" customHeight="1">
      <c r="B170" s="10" t="s">
        <v>1645</v>
      </c>
      <c r="C170" s="10" t="s">
        <v>440</v>
      </c>
      <c r="D170" s="10" t="s">
        <v>435</v>
      </c>
      <c r="E170" s="10" t="s">
        <v>907</v>
      </c>
      <c r="F170" s="10" t="s">
        <v>439</v>
      </c>
      <c r="G170" s="10" t="s">
        <v>441</v>
      </c>
    </row>
    <row r="171" spans="2:7" ht="15" customHeight="1">
      <c r="B171" s="496" t="s">
        <v>1562</v>
      </c>
      <c r="C171" s="504">
        <v>0.13500000000000001</v>
      </c>
      <c r="D171" s="497">
        <v>0.17199999999999999</v>
      </c>
      <c r="E171" s="499">
        <v>0.20899999999999999</v>
      </c>
      <c r="F171" s="499">
        <v>0.24299999999999999</v>
      </c>
      <c r="G171" s="499">
        <v>0.27500000000000002</v>
      </c>
    </row>
    <row r="172" spans="2:7" ht="15" customHeight="1">
      <c r="B172" s="496" t="s">
        <v>1642</v>
      </c>
      <c r="C172" s="504">
        <v>0.14199999999999999</v>
      </c>
      <c r="D172" s="497">
        <v>0.17300000000000001</v>
      </c>
      <c r="E172" s="499">
        <v>0.20499999999999999</v>
      </c>
      <c r="F172" s="499">
        <v>0.23499999999999999</v>
      </c>
      <c r="G172" s="499">
        <v>0.26400000000000001</v>
      </c>
    </row>
    <row r="173" spans="2:7" ht="15" customHeight="1">
      <c r="B173" s="500" t="s">
        <v>1521</v>
      </c>
      <c r="C173" s="505">
        <v>0.14800000000000002</v>
      </c>
      <c r="D173" s="501">
        <v>0.17499999999999999</v>
      </c>
      <c r="E173" s="503">
        <v>0.20100000000000001</v>
      </c>
      <c r="F173" s="503">
        <v>0.22699999999999998</v>
      </c>
      <c r="G173" s="503">
        <v>0.252</v>
      </c>
    </row>
    <row r="174" spans="2:7" ht="15" customHeight="1">
      <c r="B174" s="496" t="s">
        <v>1643</v>
      </c>
      <c r="C174" s="497">
        <v>0.155</v>
      </c>
      <c r="D174" s="497">
        <v>0.17600000000000002</v>
      </c>
      <c r="E174" s="498">
        <v>0.19699999999999998</v>
      </c>
      <c r="F174" s="499">
        <v>0.218</v>
      </c>
      <c r="G174" s="499">
        <v>0.23899999999999999</v>
      </c>
    </row>
    <row r="175" spans="2:7" ht="15" customHeight="1">
      <c r="B175" s="496" t="s">
        <v>1522</v>
      </c>
      <c r="C175" s="497">
        <v>0.161</v>
      </c>
      <c r="D175" s="497">
        <v>0.17800000000000002</v>
      </c>
      <c r="E175" s="498">
        <v>0.19399999999999998</v>
      </c>
      <c r="F175" s="499">
        <v>0.21</v>
      </c>
      <c r="G175" s="499">
        <v>0.22600000000000001</v>
      </c>
    </row>
    <row r="177" spans="2:8" ht="17.25" customHeight="1">
      <c r="B177" s="552" t="s">
        <v>1646</v>
      </c>
      <c r="C177" s="540"/>
      <c r="D177" s="540"/>
      <c r="E177" s="540"/>
      <c r="F177" s="540"/>
      <c r="G177" s="540"/>
      <c r="H177" s="540"/>
    </row>
    <row r="179" spans="2:8" ht="15" customHeight="1">
      <c r="B179" s="10" t="s">
        <v>1647</v>
      </c>
      <c r="C179" s="10" t="s">
        <v>1648</v>
      </c>
      <c r="D179" s="10" t="s">
        <v>1649</v>
      </c>
      <c r="E179" s="10" t="s">
        <v>1650</v>
      </c>
      <c r="F179" s="10" t="s">
        <v>1651</v>
      </c>
      <c r="G179" s="10" t="s">
        <v>1652</v>
      </c>
      <c r="H179" s="10" t="s">
        <v>61</v>
      </c>
    </row>
    <row r="180" spans="2:8" ht="15" customHeight="1">
      <c r="B180" s="496" t="s">
        <v>1562</v>
      </c>
      <c r="C180" t="s">
        <v>1653</v>
      </c>
      <c r="D180" t="s">
        <v>1654</v>
      </c>
      <c r="E180" t="s">
        <v>1655</v>
      </c>
      <c r="F180" t="s">
        <v>1656</v>
      </c>
      <c r="G180" s="506" t="s">
        <v>95</v>
      </c>
      <c r="H180" t="s">
        <v>1657</v>
      </c>
    </row>
    <row r="181" spans="2:8" ht="15" customHeight="1">
      <c r="B181" s="496" t="s">
        <v>1642</v>
      </c>
      <c r="C181" t="s">
        <v>1658</v>
      </c>
      <c r="D181" t="s">
        <v>1659</v>
      </c>
      <c r="E181" t="s">
        <v>1660</v>
      </c>
      <c r="F181" t="s">
        <v>1661</v>
      </c>
      <c r="G181" s="507" t="s">
        <v>1662</v>
      </c>
      <c r="H181" t="s">
        <v>1663</v>
      </c>
    </row>
    <row r="182" spans="2:8" ht="15" customHeight="1">
      <c r="B182" s="508" t="s">
        <v>1521</v>
      </c>
      <c r="C182" s="14" t="s">
        <v>1664</v>
      </c>
      <c r="D182" s="14" t="s">
        <v>1665</v>
      </c>
      <c r="E182" s="14" t="s">
        <v>1666</v>
      </c>
      <c r="F182" s="14" t="s">
        <v>1667</v>
      </c>
      <c r="G182" s="14" t="s">
        <v>66</v>
      </c>
      <c r="H182" s="14" t="s">
        <v>1668</v>
      </c>
    </row>
    <row r="183" spans="2:8" ht="15" customHeight="1">
      <c r="B183" s="496" t="s">
        <v>1643</v>
      </c>
      <c r="C183" t="s">
        <v>1669</v>
      </c>
      <c r="D183" t="s">
        <v>1670</v>
      </c>
      <c r="E183" t="s">
        <v>1671</v>
      </c>
      <c r="F183" t="s">
        <v>1672</v>
      </c>
      <c r="G183" s="14" t="s">
        <v>72</v>
      </c>
      <c r="H183" t="s">
        <v>1611</v>
      </c>
    </row>
    <row r="184" spans="2:8" ht="15" customHeight="1">
      <c r="B184" s="496" t="s">
        <v>1522</v>
      </c>
      <c r="C184" t="s">
        <v>1673</v>
      </c>
      <c r="D184" t="s">
        <v>1674</v>
      </c>
      <c r="E184" t="s">
        <v>1675</v>
      </c>
      <c r="F184" t="s">
        <v>1676</v>
      </c>
      <c r="G184" s="509" t="s">
        <v>78</v>
      </c>
      <c r="H184" t="s">
        <v>1677</v>
      </c>
    </row>
    <row r="186" spans="2:8" ht="17.25" customHeight="1">
      <c r="B186" s="552" t="s">
        <v>1678</v>
      </c>
      <c r="C186" s="540"/>
      <c r="D186" s="540"/>
      <c r="E186" s="540"/>
      <c r="F186" s="540"/>
    </row>
    <row r="188" spans="2:8" ht="15" customHeight="1">
      <c r="B188" s="10" t="s">
        <v>1647</v>
      </c>
      <c r="C188" s="10" t="s">
        <v>1679</v>
      </c>
      <c r="D188" s="10" t="s">
        <v>1680</v>
      </c>
      <c r="E188" s="10" t="s">
        <v>1681</v>
      </c>
      <c r="F188" s="10" t="s">
        <v>1682</v>
      </c>
    </row>
    <row r="189" spans="2:8" ht="15" customHeight="1">
      <c r="B189" s="496" t="s">
        <v>1562</v>
      </c>
      <c r="C189" s="12" t="s">
        <v>1683</v>
      </c>
      <c r="D189" s="12" t="s">
        <v>319</v>
      </c>
      <c r="E189" s="509" t="s">
        <v>1684</v>
      </c>
      <c r="F189" s="12" t="s">
        <v>1683</v>
      </c>
    </row>
    <row r="190" spans="2:8" ht="15" customHeight="1">
      <c r="B190" s="496" t="s">
        <v>1642</v>
      </c>
      <c r="C190" s="12" t="s">
        <v>1685</v>
      </c>
      <c r="D190" s="12" t="s">
        <v>1686</v>
      </c>
      <c r="E190" s="509" t="s">
        <v>1687</v>
      </c>
      <c r="F190" s="12" t="s">
        <v>1685</v>
      </c>
    </row>
    <row r="191" spans="2:8" ht="15" customHeight="1">
      <c r="B191" s="508" t="s">
        <v>1521</v>
      </c>
      <c r="C191" s="14" t="s">
        <v>219</v>
      </c>
      <c r="D191" s="510" t="s">
        <v>1684</v>
      </c>
      <c r="E191" s="510" t="s">
        <v>1688</v>
      </c>
      <c r="F191" s="14" t="s">
        <v>219</v>
      </c>
    </row>
    <row r="192" spans="2:8" ht="15" customHeight="1">
      <c r="B192" s="496" t="s">
        <v>1643</v>
      </c>
      <c r="C192" s="509" t="s">
        <v>1689</v>
      </c>
      <c r="D192" s="509" t="s">
        <v>1690</v>
      </c>
      <c r="E192" s="509" t="s">
        <v>1691</v>
      </c>
      <c r="F192" s="509" t="s">
        <v>1689</v>
      </c>
    </row>
    <row r="193" spans="2:8" ht="15" customHeight="1">
      <c r="B193" s="496" t="s">
        <v>1522</v>
      </c>
      <c r="C193" s="509" t="s">
        <v>1692</v>
      </c>
      <c r="D193" s="509" t="s">
        <v>1693</v>
      </c>
      <c r="E193" s="509" t="s">
        <v>1694</v>
      </c>
      <c r="F193" s="509" t="s">
        <v>1692</v>
      </c>
    </row>
    <row r="195" spans="2:8" ht="15.75" customHeight="1">
      <c r="B195" s="638" t="s">
        <v>1695</v>
      </c>
      <c r="C195" s="540"/>
      <c r="D195" s="540"/>
      <c r="E195" s="540"/>
      <c r="F195" s="540"/>
      <c r="G195" s="540"/>
      <c r="H195" s="540"/>
    </row>
  </sheetData>
  <mergeCells count="25">
    <mergeCell ref="B91:M91"/>
    <mergeCell ref="B106:M106"/>
    <mergeCell ref="C113:D113"/>
    <mergeCell ref="B114:F114"/>
    <mergeCell ref="B1:M1"/>
    <mergeCell ref="B2:M2"/>
    <mergeCell ref="B5:M5"/>
    <mergeCell ref="B31:M31"/>
    <mergeCell ref="B51:M51"/>
    <mergeCell ref="B186:F186"/>
    <mergeCell ref="B195:H195"/>
    <mergeCell ref="B6:H6"/>
    <mergeCell ref="B8:H8"/>
    <mergeCell ref="B9:H9"/>
    <mergeCell ref="B12:H12"/>
    <mergeCell ref="B13:H13"/>
    <mergeCell ref="B14:H14"/>
    <mergeCell ref="B110:G110"/>
    <mergeCell ref="B111:G111"/>
    <mergeCell ref="B122:H122"/>
    <mergeCell ref="B157:M157"/>
    <mergeCell ref="B159:G159"/>
    <mergeCell ref="B168:G168"/>
    <mergeCell ref="B177:H177"/>
    <mergeCell ref="B71:M71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1588-B538-BD68-E29E-43EBBC507358}">
  <dimension ref="B1:L114"/>
  <sheetViews>
    <sheetView workbookViewId="0"/>
  </sheetViews>
  <sheetFormatPr baseColWidth="10" defaultColWidth="7.83203125" defaultRowHeight="15" customHeight="1"/>
  <cols>
    <col min="1" max="1" width="2.5" customWidth="1"/>
    <col min="2" max="2" width="30" customWidth="1"/>
    <col min="3" max="6" width="17.5" customWidth="1"/>
    <col min="7" max="12" width="13.83203125" customWidth="1"/>
  </cols>
  <sheetData>
    <row r="1" spans="2:7" ht="19.5" customHeight="1">
      <c r="B1" s="671" t="s">
        <v>249</v>
      </c>
      <c r="C1" s="540"/>
      <c r="D1" s="540"/>
      <c r="E1" s="540"/>
      <c r="F1" s="540"/>
      <c r="G1" s="540"/>
    </row>
    <row r="2" spans="2:7" ht="17.25" customHeight="1">
      <c r="B2" s="672" t="s">
        <v>1696</v>
      </c>
      <c r="C2" s="540"/>
      <c r="D2" s="540"/>
      <c r="E2" s="540"/>
      <c r="F2" s="540"/>
      <c r="G2" s="540"/>
    </row>
    <row r="3" spans="2:7" ht="15" customHeight="1">
      <c r="B3" s="637" t="s">
        <v>496</v>
      </c>
      <c r="C3" s="540"/>
      <c r="D3" s="540"/>
      <c r="E3" s="540"/>
      <c r="F3" s="540"/>
      <c r="G3" s="540"/>
    </row>
    <row r="5" spans="2:7" ht="17.25" customHeight="1">
      <c r="B5" s="673" t="s">
        <v>1697</v>
      </c>
      <c r="C5" s="540"/>
      <c r="D5" s="540"/>
      <c r="E5" s="540"/>
      <c r="F5" s="540"/>
      <c r="G5" s="540"/>
    </row>
    <row r="7" spans="2:7" ht="14.25" customHeight="1">
      <c r="B7" s="511" t="s">
        <v>16</v>
      </c>
      <c r="C7" s="511" t="s">
        <v>1698</v>
      </c>
      <c r="D7" s="511" t="s">
        <v>1699</v>
      </c>
      <c r="E7" s="511" t="s">
        <v>1021</v>
      </c>
      <c r="F7" s="511" t="s">
        <v>1700</v>
      </c>
    </row>
    <row r="8" spans="2:7" ht="15.75" customHeight="1">
      <c r="B8" s="512" t="s">
        <v>36</v>
      </c>
      <c r="C8" s="512" t="s">
        <v>938</v>
      </c>
      <c r="D8" s="512" t="s">
        <v>1701</v>
      </c>
      <c r="E8" s="512" t="s">
        <v>1702</v>
      </c>
      <c r="F8" s="512" t="s">
        <v>1703</v>
      </c>
    </row>
    <row r="9" spans="2:7" ht="15.75" customHeight="1">
      <c r="B9" s="513" t="s">
        <v>1704</v>
      </c>
      <c r="C9" s="513" t="s">
        <v>1705</v>
      </c>
      <c r="D9" s="513" t="s">
        <v>1706</v>
      </c>
      <c r="E9" s="513" t="s">
        <v>1707</v>
      </c>
      <c r="F9" s="513" t="s">
        <v>1708</v>
      </c>
    </row>
    <row r="10" spans="2:7" ht="15.75" customHeight="1">
      <c r="B10" s="512" t="s">
        <v>1709</v>
      </c>
      <c r="C10" s="512" t="s">
        <v>1710</v>
      </c>
      <c r="D10" s="512" t="s">
        <v>1710</v>
      </c>
      <c r="E10" s="512" t="s">
        <v>1572</v>
      </c>
      <c r="F10" s="512" t="s">
        <v>1711</v>
      </c>
    </row>
    <row r="11" spans="2:7" ht="15" customHeight="1">
      <c r="B11" s="513" t="s">
        <v>525</v>
      </c>
      <c r="C11" s="513" t="s">
        <v>945</v>
      </c>
      <c r="D11" s="513" t="s">
        <v>1712</v>
      </c>
      <c r="E11" s="513" t="s">
        <v>1713</v>
      </c>
      <c r="F11" s="513" t="s">
        <v>1714</v>
      </c>
    </row>
    <row r="12" spans="2:7" ht="15" customHeight="1">
      <c r="B12" s="512" t="s">
        <v>949</v>
      </c>
      <c r="C12" s="512" t="s">
        <v>362</v>
      </c>
      <c r="D12" s="512" t="s">
        <v>1715</v>
      </c>
      <c r="E12" s="512" t="s">
        <v>1716</v>
      </c>
      <c r="F12" s="512" t="s">
        <v>1717</v>
      </c>
    </row>
    <row r="13" spans="2:7" ht="15" customHeight="1">
      <c r="B13" s="513" t="s">
        <v>314</v>
      </c>
      <c r="C13" s="513" t="s">
        <v>222</v>
      </c>
      <c r="D13" s="513" t="s">
        <v>1718</v>
      </c>
      <c r="E13" s="513" t="s">
        <v>1719</v>
      </c>
      <c r="F13" s="513" t="s">
        <v>1720</v>
      </c>
    </row>
    <row r="14" spans="2:7" ht="15" customHeight="1">
      <c r="B14" s="512" t="s">
        <v>1721</v>
      </c>
      <c r="C14" s="512" t="s">
        <v>39</v>
      </c>
      <c r="D14" s="512" t="s">
        <v>1722</v>
      </c>
      <c r="E14" s="512" t="s">
        <v>1723</v>
      </c>
      <c r="F14" s="512" t="s">
        <v>1724</v>
      </c>
    </row>
    <row r="15" spans="2:7" ht="15" customHeight="1">
      <c r="B15" s="513" t="s">
        <v>42</v>
      </c>
      <c r="C15" s="513" t="s">
        <v>28</v>
      </c>
      <c r="D15" s="513" t="s">
        <v>1725</v>
      </c>
      <c r="E15" s="513" t="s">
        <v>1726</v>
      </c>
      <c r="F15" s="513" t="s">
        <v>1727</v>
      </c>
    </row>
    <row r="18" spans="2:6" ht="15.75" customHeight="1">
      <c r="B18" s="661" t="s">
        <v>1728</v>
      </c>
      <c r="C18" s="540"/>
      <c r="D18" s="540"/>
      <c r="E18" s="540"/>
      <c r="F18" s="540"/>
    </row>
    <row r="20" spans="2:6" ht="15" customHeight="1">
      <c r="B20" s="514" t="s">
        <v>1729</v>
      </c>
      <c r="C20" s="514" t="s">
        <v>1730</v>
      </c>
      <c r="D20" s="514" t="s">
        <v>1731</v>
      </c>
      <c r="E20" s="514" t="s">
        <v>1732</v>
      </c>
      <c r="F20" s="514" t="s">
        <v>734</v>
      </c>
    </row>
    <row r="21" spans="2:6" ht="15" customHeight="1">
      <c r="B21" s="515" t="s">
        <v>736</v>
      </c>
      <c r="C21" s="516">
        <v>12</v>
      </c>
      <c r="D21" s="516">
        <v>12</v>
      </c>
      <c r="E21" s="516">
        <v>0</v>
      </c>
      <c r="F21" s="517">
        <v>0.40699999999999997</v>
      </c>
    </row>
    <row r="22" spans="2:6" ht="15" customHeight="1">
      <c r="B22" s="518" t="s">
        <v>738</v>
      </c>
      <c r="C22" s="519">
        <v>12.5</v>
      </c>
      <c r="D22" s="519">
        <v>8.5</v>
      </c>
      <c r="E22" s="519">
        <v>4</v>
      </c>
      <c r="F22" s="520">
        <v>0.28799999999999998</v>
      </c>
    </row>
    <row r="23" spans="2:6" ht="15" customHeight="1">
      <c r="B23" s="515" t="s">
        <v>741</v>
      </c>
      <c r="C23" s="516">
        <v>5.7</v>
      </c>
      <c r="D23" s="516">
        <v>3.8</v>
      </c>
      <c r="E23" s="516">
        <v>1.9</v>
      </c>
      <c r="F23" s="517">
        <v>0.129</v>
      </c>
    </row>
    <row r="24" spans="2:6" ht="15" customHeight="1">
      <c r="B24" s="518" t="s">
        <v>744</v>
      </c>
      <c r="C24" s="519">
        <v>5</v>
      </c>
      <c r="D24" s="519">
        <v>2.2000000000000002</v>
      </c>
      <c r="E24" s="519">
        <v>2.8</v>
      </c>
      <c r="F24" s="520">
        <v>7.4999999999999997E-2</v>
      </c>
    </row>
    <row r="25" spans="2:6" ht="15" customHeight="1">
      <c r="B25" s="515" t="s">
        <v>765</v>
      </c>
      <c r="C25" s="516">
        <v>4.4000000000000004</v>
      </c>
      <c r="D25" s="516">
        <v>1.8</v>
      </c>
      <c r="E25" s="516">
        <v>2.6</v>
      </c>
      <c r="F25" s="517">
        <v>6.0999999999999999E-2</v>
      </c>
    </row>
    <row r="26" spans="2:6" ht="15" customHeight="1">
      <c r="B26" s="518" t="s">
        <v>750</v>
      </c>
      <c r="C26" s="519">
        <v>2.4</v>
      </c>
      <c r="D26" s="519">
        <v>0.9</v>
      </c>
      <c r="E26" s="519">
        <v>1.5</v>
      </c>
      <c r="F26" s="520">
        <v>3.1E-2</v>
      </c>
    </row>
    <row r="27" spans="2:6" ht="15" customHeight="1">
      <c r="B27" s="515" t="s">
        <v>753</v>
      </c>
      <c r="C27" s="516">
        <v>1</v>
      </c>
      <c r="D27" s="516">
        <v>0.3</v>
      </c>
      <c r="E27" s="516">
        <v>0.7</v>
      </c>
      <c r="F27" s="517">
        <v>0.01</v>
      </c>
    </row>
    <row r="28" spans="2:6" ht="15" customHeight="1">
      <c r="B28" s="521" t="s">
        <v>1733</v>
      </c>
      <c r="C28" s="522">
        <v>43</v>
      </c>
      <c r="D28" s="522">
        <v>29.5</v>
      </c>
      <c r="E28" s="522">
        <v>13.5</v>
      </c>
      <c r="F28" s="523">
        <v>1</v>
      </c>
    </row>
    <row r="30" spans="2:6" ht="15" customHeight="1">
      <c r="B30" s="524" t="s">
        <v>1734</v>
      </c>
    </row>
    <row r="31" spans="2:6" ht="15" customHeight="1">
      <c r="B31" s="670" t="s">
        <v>1735</v>
      </c>
      <c r="C31" s="540"/>
      <c r="D31" s="540"/>
      <c r="E31" s="540"/>
      <c r="F31" s="540"/>
    </row>
    <row r="34" spans="2:12" ht="15.75" customHeight="1">
      <c r="B34" s="661" t="s">
        <v>622</v>
      </c>
      <c r="C34" s="540"/>
      <c r="D34" s="540"/>
      <c r="E34" s="540"/>
      <c r="F34" s="540"/>
    </row>
    <row r="36" spans="2:12" ht="15" customHeight="1">
      <c r="B36" s="514" t="s">
        <v>500</v>
      </c>
      <c r="C36" s="514" t="s">
        <v>331</v>
      </c>
      <c r="D36" s="514" t="s">
        <v>332</v>
      </c>
      <c r="E36" s="514" t="s">
        <v>333</v>
      </c>
      <c r="F36" s="514" t="s">
        <v>1736</v>
      </c>
    </row>
    <row r="37" spans="2:12" ht="15" customHeight="1">
      <c r="B37" s="515" t="s">
        <v>553</v>
      </c>
      <c r="C37" s="515" t="s">
        <v>1587</v>
      </c>
      <c r="D37" s="515" t="s">
        <v>1737</v>
      </c>
      <c r="E37" s="515" t="s">
        <v>1738</v>
      </c>
      <c r="F37" s="515" t="s">
        <v>1712</v>
      </c>
    </row>
    <row r="38" spans="2:12" ht="15" customHeight="1">
      <c r="B38" s="518" t="s">
        <v>453</v>
      </c>
      <c r="C38" s="518" t="s">
        <v>1739</v>
      </c>
      <c r="D38" s="518" t="s">
        <v>1740</v>
      </c>
      <c r="E38" s="518" t="s">
        <v>1741</v>
      </c>
      <c r="F38" s="518" t="s">
        <v>1715</v>
      </c>
    </row>
    <row r="39" spans="2:12" ht="15" customHeight="1">
      <c r="B39" s="515" t="s">
        <v>798</v>
      </c>
      <c r="C39" s="515">
        <v>72</v>
      </c>
      <c r="D39" s="515">
        <v>72</v>
      </c>
      <c r="E39" s="515">
        <v>72</v>
      </c>
      <c r="F39" s="515">
        <v>72</v>
      </c>
    </row>
    <row r="40" spans="2:12" ht="15" customHeight="1">
      <c r="B40" s="518" t="s">
        <v>802</v>
      </c>
      <c r="C40" s="518" t="s">
        <v>1742</v>
      </c>
      <c r="D40" s="518" t="s">
        <v>1743</v>
      </c>
      <c r="E40" s="518" t="s">
        <v>1744</v>
      </c>
      <c r="F40" s="518" t="s">
        <v>1745</v>
      </c>
    </row>
    <row r="41" spans="2:12" ht="15" customHeight="1">
      <c r="B41" s="515" t="s">
        <v>1746</v>
      </c>
      <c r="C41" s="515" t="s">
        <v>1747</v>
      </c>
      <c r="D41" s="515" t="s">
        <v>1748</v>
      </c>
      <c r="E41" s="515" t="s">
        <v>1749</v>
      </c>
      <c r="F41" s="515" t="s">
        <v>1750</v>
      </c>
    </row>
    <row r="42" spans="2:12" ht="15" customHeight="1">
      <c r="B42" s="518" t="s">
        <v>841</v>
      </c>
      <c r="C42" s="518" t="s">
        <v>1751</v>
      </c>
      <c r="D42" s="518" t="s">
        <v>1752</v>
      </c>
      <c r="E42" s="518" t="s">
        <v>1753</v>
      </c>
      <c r="F42" s="518" t="s">
        <v>1754</v>
      </c>
    </row>
    <row r="43" spans="2:12" ht="15" customHeight="1">
      <c r="B43" s="515" t="s">
        <v>1755</v>
      </c>
      <c r="C43" s="515" t="s">
        <v>1756</v>
      </c>
      <c r="D43" s="515" t="s">
        <v>1757</v>
      </c>
      <c r="E43" s="515" t="s">
        <v>1758</v>
      </c>
      <c r="F43" s="515" t="s">
        <v>1759</v>
      </c>
    </row>
    <row r="44" spans="2:12" ht="15" customHeight="1">
      <c r="B44" s="518" t="s">
        <v>1760</v>
      </c>
      <c r="C44" s="518" t="s">
        <v>1761</v>
      </c>
      <c r="D44" s="518" t="s">
        <v>1762</v>
      </c>
      <c r="E44" s="518" t="s">
        <v>1763</v>
      </c>
      <c r="F44" s="518" t="s">
        <v>1764</v>
      </c>
    </row>
    <row r="45" spans="2:12" ht="15" customHeight="1">
      <c r="B45" s="515" t="s">
        <v>1505</v>
      </c>
      <c r="C45" s="515" t="s">
        <v>1765</v>
      </c>
      <c r="D45" s="515" t="s">
        <v>1766</v>
      </c>
      <c r="E45" s="515" t="s">
        <v>1767</v>
      </c>
      <c r="F45" s="515" t="s">
        <v>1768</v>
      </c>
    </row>
    <row r="48" spans="2:12" ht="15.75" customHeight="1">
      <c r="B48" s="661" t="s">
        <v>1769</v>
      </c>
      <c r="C48" s="540"/>
      <c r="D48" s="540"/>
      <c r="E48" s="540"/>
      <c r="F48" s="540"/>
      <c r="G48" s="540"/>
      <c r="H48" s="540"/>
      <c r="I48" s="540"/>
      <c r="J48" s="540"/>
      <c r="K48" s="540"/>
      <c r="L48" s="540"/>
    </row>
    <row r="50" spans="2:12" ht="15" customHeight="1">
      <c r="B50" s="525" t="s">
        <v>16</v>
      </c>
      <c r="C50" s="526" t="s">
        <v>331</v>
      </c>
      <c r="D50" s="526" t="s">
        <v>332</v>
      </c>
      <c r="E50" s="526" t="s">
        <v>333</v>
      </c>
      <c r="F50" s="526" t="s">
        <v>794</v>
      </c>
      <c r="G50" s="526" t="s">
        <v>334</v>
      </c>
      <c r="H50" s="526" t="s">
        <v>795</v>
      </c>
      <c r="I50" s="526" t="s">
        <v>335</v>
      </c>
      <c r="J50" s="526" t="s">
        <v>796</v>
      </c>
      <c r="K50" s="526" t="s">
        <v>552</v>
      </c>
      <c r="L50" s="526" t="s">
        <v>336</v>
      </c>
    </row>
    <row r="51" spans="2:12" ht="15" customHeight="1">
      <c r="B51" t="s">
        <v>1755</v>
      </c>
      <c r="C51" s="527">
        <v>5.36</v>
      </c>
      <c r="D51" s="527">
        <v>7.64</v>
      </c>
      <c r="E51" s="527">
        <v>8.8800000000000008</v>
      </c>
      <c r="F51" s="527">
        <v>9.42</v>
      </c>
      <c r="G51" s="527">
        <v>9.6999999999999993</v>
      </c>
      <c r="H51" s="527">
        <v>9.99</v>
      </c>
      <c r="I51" s="527">
        <v>10.29</v>
      </c>
      <c r="J51" s="527">
        <v>10.6</v>
      </c>
      <c r="K51" s="527">
        <v>10.92</v>
      </c>
      <c r="L51" s="527">
        <v>11.25</v>
      </c>
    </row>
    <row r="52" spans="2:12" ht="15" customHeight="1">
      <c r="B52" t="s">
        <v>1505</v>
      </c>
      <c r="C52" s="527">
        <v>2.25</v>
      </c>
      <c r="D52" s="527">
        <v>3.21</v>
      </c>
      <c r="E52" s="527">
        <v>3.73</v>
      </c>
      <c r="F52" s="527">
        <v>3.96</v>
      </c>
      <c r="G52" s="527">
        <v>4.07</v>
      </c>
      <c r="H52" s="527">
        <v>4.2</v>
      </c>
      <c r="I52" s="527">
        <v>4.32</v>
      </c>
      <c r="J52" s="527">
        <v>4.45</v>
      </c>
      <c r="K52" s="527">
        <v>4.59</v>
      </c>
      <c r="L52" s="527">
        <v>4.7300000000000004</v>
      </c>
    </row>
    <row r="53" spans="2:12" ht="15" customHeight="1">
      <c r="B53" t="s">
        <v>863</v>
      </c>
      <c r="C53" s="455">
        <v>0.42</v>
      </c>
      <c r="D53" s="455">
        <v>0.42</v>
      </c>
      <c r="E53" s="455">
        <v>0.42</v>
      </c>
      <c r="F53" s="455">
        <v>0.42</v>
      </c>
      <c r="G53" s="455">
        <v>0.42</v>
      </c>
      <c r="H53" s="455">
        <v>0.42</v>
      </c>
      <c r="I53" s="455">
        <v>0.42</v>
      </c>
      <c r="J53" s="455">
        <v>0.42</v>
      </c>
      <c r="K53" s="455">
        <v>0.42</v>
      </c>
      <c r="L53" s="455">
        <v>0.42</v>
      </c>
    </row>
    <row r="54" spans="2:12" ht="15" customHeight="1">
      <c r="B54" t="s">
        <v>1770</v>
      </c>
      <c r="C54" s="527">
        <v>0.86</v>
      </c>
      <c r="D54" s="527">
        <v>0.86</v>
      </c>
      <c r="E54" s="527">
        <v>0.86</v>
      </c>
      <c r="F54" s="527">
        <v>0.86</v>
      </c>
      <c r="G54" s="527">
        <v>0.86</v>
      </c>
      <c r="H54" s="527">
        <v>0.86</v>
      </c>
      <c r="I54" s="527">
        <v>0.86</v>
      </c>
      <c r="J54" s="527">
        <v>0.86</v>
      </c>
      <c r="K54" s="527">
        <v>0.86</v>
      </c>
      <c r="L54" s="527">
        <v>0.86</v>
      </c>
    </row>
    <row r="55" spans="2:12" ht="15" customHeight="1">
      <c r="B55" t="s">
        <v>1771</v>
      </c>
      <c r="C55" s="527">
        <v>0.99</v>
      </c>
      <c r="D55" s="527">
        <v>0.96</v>
      </c>
      <c r="E55" s="527">
        <v>0.93</v>
      </c>
      <c r="F55" s="527">
        <v>0.9</v>
      </c>
      <c r="G55" s="527">
        <v>0.87</v>
      </c>
      <c r="H55" s="527">
        <v>0.84</v>
      </c>
      <c r="I55" s="527">
        <v>0.81</v>
      </c>
      <c r="J55" s="527">
        <v>0.78</v>
      </c>
      <c r="K55" s="527">
        <v>0.75</v>
      </c>
      <c r="L55" s="527">
        <v>0.72</v>
      </c>
    </row>
    <row r="56" spans="2:12" ht="15" customHeight="1">
      <c r="B56" t="s">
        <v>1772</v>
      </c>
      <c r="C56" s="527">
        <v>0.40000000000000013</v>
      </c>
      <c r="D56" s="527">
        <v>1.3900000000000001</v>
      </c>
      <c r="E56" s="527">
        <v>1.94</v>
      </c>
      <c r="F56" s="527">
        <v>2.2000000000000002</v>
      </c>
      <c r="G56" s="527">
        <v>2.3400000000000003</v>
      </c>
      <c r="H56" s="527">
        <v>2.5000000000000004</v>
      </c>
      <c r="I56" s="527">
        <v>2.6500000000000004</v>
      </c>
      <c r="J56" s="527">
        <v>2.8100000000000005</v>
      </c>
      <c r="K56" s="527">
        <v>2.98</v>
      </c>
      <c r="L56" s="527">
        <v>3.1500000000000004</v>
      </c>
    </row>
    <row r="57" spans="2:12" ht="15" customHeight="1">
      <c r="B57" t="s">
        <v>1773</v>
      </c>
      <c r="C57" s="527">
        <v>0.10068000000000002</v>
      </c>
      <c r="D57" s="527">
        <v>0.34986299999999998</v>
      </c>
      <c r="E57" s="527">
        <v>0.48829799999999995</v>
      </c>
      <c r="F57" s="527">
        <v>0.55374000000000001</v>
      </c>
      <c r="G57" s="527">
        <v>0.588978</v>
      </c>
      <c r="H57" s="527">
        <v>0.62925000000000009</v>
      </c>
      <c r="I57" s="527">
        <v>0.66700500000000007</v>
      </c>
      <c r="J57" s="527">
        <v>0.70727700000000004</v>
      </c>
      <c r="K57" s="527">
        <v>0.7500659999999999</v>
      </c>
      <c r="L57" s="527">
        <v>0.79285499999999998</v>
      </c>
    </row>
    <row r="58" spans="2:12" ht="15" customHeight="1">
      <c r="B58" t="s">
        <v>1774</v>
      </c>
      <c r="C58" s="527">
        <v>0.29932000000000014</v>
      </c>
      <c r="D58" s="527">
        <v>1.0401370000000001</v>
      </c>
      <c r="E58" s="527">
        <v>1.451702</v>
      </c>
      <c r="F58" s="527">
        <v>1.6462600000000003</v>
      </c>
      <c r="G58" s="527">
        <v>1.7510220000000003</v>
      </c>
      <c r="H58" s="527">
        <v>1.8707500000000004</v>
      </c>
      <c r="I58" s="527">
        <v>1.9829950000000003</v>
      </c>
      <c r="J58" s="527">
        <v>2.1027230000000006</v>
      </c>
      <c r="K58" s="527">
        <v>2.2299340000000001</v>
      </c>
      <c r="L58" s="527">
        <v>2.3571450000000005</v>
      </c>
    </row>
    <row r="59" spans="2:12" ht="15" customHeight="1">
      <c r="B59" t="s">
        <v>1775</v>
      </c>
      <c r="C59" s="527">
        <v>0.88</v>
      </c>
      <c r="D59" s="527">
        <v>1.38</v>
      </c>
      <c r="E59" s="527">
        <v>1.69</v>
      </c>
      <c r="F59" s="527">
        <v>1.91</v>
      </c>
      <c r="G59" s="527">
        <v>2.0099999999999998</v>
      </c>
      <c r="H59" s="527">
        <v>2.12</v>
      </c>
      <c r="I59" s="527">
        <v>2.23</v>
      </c>
      <c r="J59" s="527">
        <v>2.35</v>
      </c>
      <c r="K59" s="527">
        <v>2.4700000000000002</v>
      </c>
      <c r="L59" s="527">
        <v>2.65</v>
      </c>
    </row>
    <row r="60" spans="2:12" ht="15" customHeight="1">
      <c r="B60" t="s">
        <v>1776</v>
      </c>
      <c r="C60" s="528">
        <v>-28.62</v>
      </c>
      <c r="D60" s="528">
        <v>-27.240000000000002</v>
      </c>
      <c r="E60" s="528">
        <v>-25.55</v>
      </c>
      <c r="F60" s="528">
        <v>-23.64</v>
      </c>
      <c r="G60" s="528">
        <v>-21.630000000000003</v>
      </c>
      <c r="H60" s="528">
        <v>-19.510000000000002</v>
      </c>
      <c r="I60" s="528">
        <v>-17.28</v>
      </c>
      <c r="J60" s="528">
        <v>-14.930000000000001</v>
      </c>
      <c r="K60" s="528">
        <v>-12.46</v>
      </c>
      <c r="L60" s="528">
        <v>-9.81</v>
      </c>
    </row>
    <row r="61" spans="2:12" ht="15" customHeight="1">
      <c r="B61" t="s">
        <v>1777</v>
      </c>
      <c r="L61" s="529">
        <v>75.599999999999994</v>
      </c>
    </row>
    <row r="62" spans="2:12" ht="15" customHeight="1">
      <c r="B62" t="s">
        <v>1778</v>
      </c>
      <c r="C62" s="527">
        <v>0.88</v>
      </c>
      <c r="D62" s="527">
        <v>1.38</v>
      </c>
      <c r="E62" s="527">
        <v>1.69</v>
      </c>
      <c r="F62" s="527">
        <v>1.91</v>
      </c>
      <c r="G62" s="527">
        <v>2.0099999999999998</v>
      </c>
      <c r="H62" s="527">
        <v>2.12</v>
      </c>
      <c r="I62" s="527">
        <v>2.23</v>
      </c>
      <c r="J62" s="527">
        <v>2.35</v>
      </c>
      <c r="K62" s="527">
        <v>2.4700000000000002</v>
      </c>
      <c r="L62" s="530">
        <v>78.25</v>
      </c>
    </row>
    <row r="65" spans="2:6" ht="15.75" customHeight="1">
      <c r="B65" s="661" t="s">
        <v>1779</v>
      </c>
      <c r="C65" s="540"/>
      <c r="D65" s="540"/>
      <c r="E65" s="540"/>
      <c r="F65" s="540"/>
    </row>
    <row r="67" spans="2:6" ht="15" customHeight="1">
      <c r="B67" s="524" t="s">
        <v>378</v>
      </c>
      <c r="C67" s="531" t="s">
        <v>1722</v>
      </c>
      <c r="D67" s="669" t="s">
        <v>1780</v>
      </c>
      <c r="E67" s="540"/>
      <c r="F67" s="540"/>
    </row>
    <row r="68" spans="2:6" ht="15" customHeight="1">
      <c r="B68" s="524" t="s">
        <v>42</v>
      </c>
      <c r="C68" s="531" t="s">
        <v>1725</v>
      </c>
      <c r="D68" s="669" t="s">
        <v>1781</v>
      </c>
      <c r="E68" s="540"/>
      <c r="F68" s="540"/>
    </row>
    <row r="69" spans="2:6" ht="15" customHeight="1">
      <c r="B69" s="524" t="s">
        <v>49</v>
      </c>
      <c r="C69" s="532" t="s">
        <v>1782</v>
      </c>
      <c r="D69" s="658" t="s">
        <v>1783</v>
      </c>
      <c r="E69" s="540"/>
      <c r="F69" s="540"/>
    </row>
    <row r="70" spans="2:6" ht="15" customHeight="1">
      <c r="B70" s="524" t="s">
        <v>45</v>
      </c>
      <c r="C70" s="532" t="s">
        <v>1784</v>
      </c>
      <c r="D70" s="658" t="s">
        <v>1785</v>
      </c>
      <c r="E70" s="540"/>
      <c r="F70" s="540"/>
    </row>
    <row r="71" spans="2:6" ht="15" customHeight="1">
      <c r="B71" s="524" t="s">
        <v>911</v>
      </c>
      <c r="C71" s="532" t="s">
        <v>1786</v>
      </c>
      <c r="D71" s="658" t="s">
        <v>1787</v>
      </c>
      <c r="E71" s="540"/>
      <c r="F71" s="540"/>
    </row>
    <row r="72" spans="2:6" ht="15" customHeight="1">
      <c r="B72" s="524" t="s">
        <v>1788</v>
      </c>
      <c r="C72" s="531" t="s">
        <v>1789</v>
      </c>
      <c r="D72" s="669" t="s">
        <v>1790</v>
      </c>
      <c r="E72" s="540"/>
      <c r="F72" s="540"/>
    </row>
    <row r="73" spans="2:6" ht="15" customHeight="1">
      <c r="B73" s="524" t="s">
        <v>1791</v>
      </c>
      <c r="C73" s="533" t="s">
        <v>1792</v>
      </c>
      <c r="D73" s="667" t="s">
        <v>1793</v>
      </c>
      <c r="E73" s="540"/>
      <c r="F73" s="540"/>
    </row>
    <row r="76" spans="2:6" ht="15.75" customHeight="1">
      <c r="B76" s="668" t="s">
        <v>1794</v>
      </c>
      <c r="C76" s="540"/>
      <c r="D76" s="540"/>
      <c r="E76" s="540"/>
      <c r="F76" s="540"/>
    </row>
    <row r="78" spans="2:6" ht="15" customHeight="1">
      <c r="B78" s="534" t="s">
        <v>1795</v>
      </c>
      <c r="C78" s="660" t="s">
        <v>1796</v>
      </c>
      <c r="D78" s="540"/>
      <c r="E78" s="540"/>
      <c r="F78" s="540"/>
    </row>
    <row r="79" spans="2:6" ht="15" customHeight="1">
      <c r="B79" s="534" t="s">
        <v>1797</v>
      </c>
      <c r="C79" s="660" t="s">
        <v>1798</v>
      </c>
      <c r="D79" s="540"/>
      <c r="E79" s="540"/>
      <c r="F79" s="540"/>
    </row>
    <row r="80" spans="2:6" ht="15" customHeight="1">
      <c r="B80" s="534" t="s">
        <v>1799</v>
      </c>
      <c r="C80" s="660" t="s">
        <v>1800</v>
      </c>
      <c r="D80" s="540"/>
      <c r="E80" s="540"/>
      <c r="F80" s="540"/>
    </row>
    <row r="81" spans="2:6" ht="15" customHeight="1">
      <c r="B81" s="534" t="s">
        <v>1801</v>
      </c>
      <c r="C81" s="660" t="s">
        <v>1802</v>
      </c>
      <c r="D81" s="540"/>
      <c r="E81" s="540"/>
      <c r="F81" s="540"/>
    </row>
    <row r="82" spans="2:6" ht="15" customHeight="1">
      <c r="B82" s="534" t="s">
        <v>1803</v>
      </c>
      <c r="C82" s="660" t="s">
        <v>1804</v>
      </c>
      <c r="D82" s="540"/>
      <c r="E82" s="540"/>
      <c r="F82" s="540"/>
    </row>
    <row r="83" spans="2:6" ht="15" customHeight="1">
      <c r="B83" s="534" t="s">
        <v>1805</v>
      </c>
      <c r="C83" s="660" t="s">
        <v>1806</v>
      </c>
      <c r="D83" s="540"/>
      <c r="E83" s="540"/>
      <c r="F83" s="540"/>
    </row>
    <row r="84" spans="2:6" ht="15" customHeight="1">
      <c r="B84" s="534" t="s">
        <v>1807</v>
      </c>
      <c r="C84" s="660" t="s">
        <v>1808</v>
      </c>
      <c r="D84" s="540"/>
      <c r="E84" s="540"/>
      <c r="F84" s="540"/>
    </row>
    <row r="85" spans="2:6" ht="15" customHeight="1">
      <c r="B85" s="534" t="s">
        <v>1809</v>
      </c>
      <c r="C85" s="660" t="s">
        <v>1810</v>
      </c>
      <c r="D85" s="540"/>
      <c r="E85" s="540"/>
      <c r="F85" s="540"/>
    </row>
    <row r="89" spans="2:6" ht="15.75" customHeight="1">
      <c r="B89" s="666" t="s">
        <v>1811</v>
      </c>
      <c r="C89" s="540"/>
      <c r="D89" s="540"/>
      <c r="E89" s="540"/>
      <c r="F89" s="540"/>
    </row>
    <row r="91" spans="2:6" ht="15" customHeight="1">
      <c r="B91" s="535" t="s">
        <v>1812</v>
      </c>
      <c r="C91" s="662" t="s">
        <v>1813</v>
      </c>
      <c r="D91" s="540"/>
      <c r="E91" s="540"/>
      <c r="F91" s="540"/>
    </row>
    <row r="92" spans="2:6" ht="15" customHeight="1">
      <c r="B92" s="535" t="s">
        <v>1814</v>
      </c>
      <c r="C92" s="662" t="s">
        <v>1815</v>
      </c>
      <c r="D92" s="540"/>
      <c r="E92" s="540"/>
      <c r="F92" s="540"/>
    </row>
    <row r="93" spans="2:6" ht="15" customHeight="1">
      <c r="B93" s="535" t="s">
        <v>1816</v>
      </c>
      <c r="C93" s="662" t="s">
        <v>1817</v>
      </c>
      <c r="D93" s="540"/>
      <c r="E93" s="540"/>
      <c r="F93" s="540"/>
    </row>
    <row r="94" spans="2:6" ht="15" customHeight="1">
      <c r="B94" s="535" t="s">
        <v>1818</v>
      </c>
      <c r="C94" s="662" t="s">
        <v>1819</v>
      </c>
      <c r="D94" s="540"/>
      <c r="E94" s="540"/>
      <c r="F94" s="540"/>
    </row>
    <row r="95" spans="2:6" ht="15" customHeight="1">
      <c r="B95" s="535" t="s">
        <v>1820</v>
      </c>
      <c r="C95" s="662" t="s">
        <v>1821</v>
      </c>
      <c r="D95" s="540"/>
      <c r="E95" s="540"/>
      <c r="F95" s="540"/>
    </row>
    <row r="98" spans="2:6" ht="17.25" customHeight="1">
      <c r="B98" s="663" t="s">
        <v>1822</v>
      </c>
      <c r="C98" s="540"/>
      <c r="D98" s="540"/>
      <c r="E98" s="540"/>
      <c r="F98" s="540"/>
    </row>
    <row r="100" spans="2:6" ht="15" customHeight="1">
      <c r="B100" s="664" t="s">
        <v>1823</v>
      </c>
      <c r="C100" s="540"/>
      <c r="D100" s="540"/>
      <c r="E100" s="540"/>
      <c r="F100" s="540"/>
    </row>
    <row r="101" spans="2:6" ht="15" customHeight="1">
      <c r="B101" s="665" t="s">
        <v>1824</v>
      </c>
      <c r="C101" s="540"/>
      <c r="D101" s="540"/>
      <c r="E101" s="540"/>
      <c r="F101" s="540"/>
    </row>
    <row r="102" spans="2:6" ht="15" customHeight="1">
      <c r="B102" s="660" t="s">
        <v>1825</v>
      </c>
      <c r="C102" s="540"/>
      <c r="D102" s="540"/>
      <c r="E102" s="540"/>
      <c r="F102" s="540"/>
    </row>
    <row r="103" spans="2:6" ht="15" customHeight="1">
      <c r="B103" s="660" t="s">
        <v>1826</v>
      </c>
      <c r="C103" s="540"/>
      <c r="D103" s="540"/>
      <c r="E103" s="540"/>
      <c r="F103" s="540"/>
    </row>
    <row r="104" spans="2:6" ht="15" customHeight="1">
      <c r="B104" s="660" t="s">
        <v>1827</v>
      </c>
      <c r="C104" s="540"/>
      <c r="D104" s="540"/>
      <c r="E104" s="540"/>
      <c r="F104" s="540"/>
    </row>
    <row r="105" spans="2:6" ht="15" customHeight="1">
      <c r="B105" s="660" t="s">
        <v>1828</v>
      </c>
      <c r="C105" s="540"/>
      <c r="D105" s="540"/>
      <c r="E105" s="540"/>
      <c r="F105" s="540"/>
    </row>
    <row r="108" spans="2:6" ht="15.75" customHeight="1">
      <c r="B108" s="661" t="s">
        <v>1829</v>
      </c>
      <c r="C108" s="540"/>
      <c r="D108" s="540"/>
      <c r="E108" s="540"/>
      <c r="F108" s="540"/>
    </row>
    <row r="110" spans="2:6" ht="15" customHeight="1">
      <c r="B110" s="659" t="s">
        <v>1830</v>
      </c>
      <c r="C110" s="540"/>
      <c r="D110" s="540"/>
      <c r="E110" s="540"/>
      <c r="F110" s="540"/>
    </row>
    <row r="111" spans="2:6" ht="15" customHeight="1">
      <c r="B111" s="658" t="s">
        <v>1831</v>
      </c>
      <c r="C111" s="540"/>
      <c r="D111" s="540"/>
      <c r="E111" s="540"/>
      <c r="F111" s="540"/>
    </row>
    <row r="112" spans="2:6" ht="15" customHeight="1">
      <c r="B112" s="659" t="s">
        <v>1832</v>
      </c>
      <c r="C112" s="540"/>
      <c r="D112" s="540"/>
      <c r="E112" s="540"/>
      <c r="F112" s="540"/>
    </row>
    <row r="113" spans="2:6" ht="15" customHeight="1">
      <c r="B113" s="658" t="s">
        <v>1833</v>
      </c>
      <c r="C113" s="540"/>
      <c r="D113" s="540"/>
      <c r="E113" s="540"/>
      <c r="F113" s="540"/>
    </row>
    <row r="114" spans="2:6" ht="15" customHeight="1">
      <c r="B114" s="659" t="s">
        <v>1834</v>
      </c>
      <c r="C114" s="540"/>
      <c r="D114" s="540"/>
      <c r="E114" s="540"/>
      <c r="F114" s="540"/>
    </row>
  </sheetData>
  <mergeCells count="44">
    <mergeCell ref="B1:G1"/>
    <mergeCell ref="B2:G2"/>
    <mergeCell ref="B3:G3"/>
    <mergeCell ref="B5:G5"/>
    <mergeCell ref="B18:F18"/>
    <mergeCell ref="B31:F31"/>
    <mergeCell ref="B34:F34"/>
    <mergeCell ref="B48:L48"/>
    <mergeCell ref="B65:F65"/>
    <mergeCell ref="D67:F67"/>
    <mergeCell ref="D68:F68"/>
    <mergeCell ref="D69:F69"/>
    <mergeCell ref="D70:F70"/>
    <mergeCell ref="D71:F71"/>
    <mergeCell ref="D72:F72"/>
    <mergeCell ref="D73:F73"/>
    <mergeCell ref="B76:F76"/>
    <mergeCell ref="C78:F78"/>
    <mergeCell ref="C79:F79"/>
    <mergeCell ref="C80:F80"/>
    <mergeCell ref="C81:F81"/>
    <mergeCell ref="C82:F82"/>
    <mergeCell ref="C83:F83"/>
    <mergeCell ref="C84:F84"/>
    <mergeCell ref="C85:F85"/>
    <mergeCell ref="B89:F89"/>
    <mergeCell ref="C91:F91"/>
    <mergeCell ref="C92:F92"/>
    <mergeCell ref="C93:F93"/>
    <mergeCell ref="C94:F94"/>
    <mergeCell ref="C95:F95"/>
    <mergeCell ref="B98:F98"/>
    <mergeCell ref="B100:F100"/>
    <mergeCell ref="B101:F101"/>
    <mergeCell ref="B102:F102"/>
    <mergeCell ref="B111:F111"/>
    <mergeCell ref="B112:F112"/>
    <mergeCell ref="B113:F113"/>
    <mergeCell ref="B114:F114"/>
    <mergeCell ref="B103:F103"/>
    <mergeCell ref="B104:F104"/>
    <mergeCell ref="B105:F105"/>
    <mergeCell ref="B108:F108"/>
    <mergeCell ref="B110:F110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D288-B688-0888-5BA4-65D88CD8A8B8}">
  <dimension ref="A1:F36"/>
  <sheetViews>
    <sheetView topLeftCell="A11" workbookViewId="0">
      <selection sqref="A1:F1"/>
    </sheetView>
  </sheetViews>
  <sheetFormatPr baseColWidth="10" defaultColWidth="7.83203125" defaultRowHeight="15" customHeight="1"/>
  <cols>
    <col min="1" max="1" width="55.83203125" customWidth="1"/>
    <col min="2" max="2" width="14" customWidth="1"/>
    <col min="3" max="3" width="12" customWidth="1"/>
    <col min="4" max="4" width="19" customWidth="1"/>
    <col min="5" max="5" width="7.83203125" customWidth="1"/>
  </cols>
  <sheetData>
    <row r="1" spans="1:6" ht="22.5" customHeight="1">
      <c r="A1" s="676" t="s">
        <v>1835</v>
      </c>
      <c r="B1" s="540"/>
      <c r="C1" s="540"/>
      <c r="D1" s="540"/>
      <c r="E1" s="540"/>
      <c r="F1" s="540"/>
    </row>
    <row r="2" spans="1:6" ht="15" customHeight="1">
      <c r="A2" s="677" t="s">
        <v>1836</v>
      </c>
      <c r="B2" s="540"/>
      <c r="C2" s="540"/>
      <c r="D2" s="540"/>
      <c r="E2" s="540"/>
      <c r="F2" s="540"/>
    </row>
    <row r="4" spans="1:6" ht="15" customHeight="1">
      <c r="A4" s="494" t="s">
        <v>1837</v>
      </c>
      <c r="B4" s="536" t="s">
        <v>212</v>
      </c>
    </row>
    <row r="6" spans="1:6" ht="15" customHeight="1">
      <c r="A6" s="674" t="s">
        <v>1838</v>
      </c>
      <c r="B6" s="540"/>
      <c r="C6" s="540"/>
      <c r="D6" s="540"/>
      <c r="E6" s="540"/>
      <c r="F6" s="540"/>
    </row>
    <row r="7" spans="1:6" ht="15" customHeight="1">
      <c r="A7" s="537" t="s">
        <v>16</v>
      </c>
      <c r="B7" s="537" t="s">
        <v>1839</v>
      </c>
      <c r="C7" s="537" t="s">
        <v>1840</v>
      </c>
      <c r="D7" s="537" t="s">
        <v>1841</v>
      </c>
      <c r="E7" s="537" t="s">
        <v>571</v>
      </c>
      <c r="F7" s="537" t="s">
        <v>210</v>
      </c>
    </row>
    <row r="8" spans="1:6" ht="15" customHeight="1">
      <c r="A8" t="s">
        <v>59</v>
      </c>
      <c r="B8" t="s">
        <v>39</v>
      </c>
      <c r="C8" t="s">
        <v>39</v>
      </c>
      <c r="D8" t="s">
        <v>39</v>
      </c>
      <c r="E8" t="s">
        <v>39</v>
      </c>
      <c r="F8" s="538" t="s">
        <v>212</v>
      </c>
    </row>
    <row r="9" spans="1:6" ht="15" customHeight="1">
      <c r="A9" t="s">
        <v>427</v>
      </c>
      <c r="B9" t="s">
        <v>28</v>
      </c>
      <c r="C9" t="s">
        <v>28</v>
      </c>
      <c r="D9" t="s">
        <v>28</v>
      </c>
      <c r="E9" t="s">
        <v>28</v>
      </c>
      <c r="F9" s="538" t="s">
        <v>212</v>
      </c>
    </row>
    <row r="10" spans="1:6" ht="15" customHeight="1">
      <c r="A10" t="s">
        <v>45</v>
      </c>
      <c r="B10" t="s">
        <v>46</v>
      </c>
      <c r="C10" t="s">
        <v>46</v>
      </c>
      <c r="D10" t="s">
        <v>46</v>
      </c>
      <c r="E10" t="s">
        <v>46</v>
      </c>
      <c r="F10" s="538" t="s">
        <v>212</v>
      </c>
    </row>
    <row r="12" spans="1:6" ht="15" customHeight="1">
      <c r="A12" s="674" t="s">
        <v>1842</v>
      </c>
      <c r="B12" s="540"/>
      <c r="C12" s="540"/>
      <c r="D12" s="540"/>
      <c r="E12" s="540"/>
      <c r="F12" s="540"/>
    </row>
    <row r="13" spans="1:6" ht="15" customHeight="1">
      <c r="A13" s="537" t="s">
        <v>1843</v>
      </c>
      <c r="B13" s="537" t="s">
        <v>1844</v>
      </c>
      <c r="C13" s="537" t="s">
        <v>1845</v>
      </c>
      <c r="D13" s="537" t="s">
        <v>282</v>
      </c>
      <c r="E13" s="537" t="s">
        <v>571</v>
      </c>
      <c r="F13" s="537" t="s">
        <v>210</v>
      </c>
    </row>
    <row r="14" spans="1:6" ht="15" customHeight="1">
      <c r="A14" t="s">
        <v>1846</v>
      </c>
      <c r="B14" t="s">
        <v>1847</v>
      </c>
      <c r="C14" t="s">
        <v>20</v>
      </c>
      <c r="D14" t="s">
        <v>21</v>
      </c>
      <c r="E14" t="s">
        <v>21</v>
      </c>
      <c r="F14" s="538" t="s">
        <v>212</v>
      </c>
    </row>
    <row r="15" spans="1:6" ht="15" customHeight="1">
      <c r="A15" t="s">
        <v>1848</v>
      </c>
      <c r="B15" t="s">
        <v>1849</v>
      </c>
      <c r="C15" t="s">
        <v>1850</v>
      </c>
      <c r="D15" t="s">
        <v>21</v>
      </c>
      <c r="E15" t="s">
        <v>21</v>
      </c>
      <c r="F15" s="538" t="s">
        <v>212</v>
      </c>
    </row>
    <row r="16" spans="1:6" ht="15" customHeight="1">
      <c r="A16" t="s">
        <v>1851</v>
      </c>
      <c r="B16" t="s">
        <v>1852</v>
      </c>
      <c r="C16" t="s">
        <v>1010</v>
      </c>
      <c r="D16" t="s">
        <v>21</v>
      </c>
      <c r="E16" t="s">
        <v>21</v>
      </c>
      <c r="F16" s="538" t="s">
        <v>212</v>
      </c>
    </row>
    <row r="17" spans="1:6" ht="15" customHeight="1">
      <c r="A17" t="s">
        <v>1853</v>
      </c>
      <c r="B17" t="s">
        <v>1854</v>
      </c>
      <c r="C17" t="s">
        <v>1010</v>
      </c>
      <c r="D17" t="s">
        <v>21</v>
      </c>
      <c r="E17" t="s">
        <v>21</v>
      </c>
      <c r="F17" s="538" t="s">
        <v>212</v>
      </c>
    </row>
    <row r="19" spans="1:6" ht="15" customHeight="1">
      <c r="A19" s="674" t="s">
        <v>1855</v>
      </c>
      <c r="B19" s="540"/>
      <c r="C19" s="540"/>
      <c r="D19" s="540"/>
      <c r="E19" s="540"/>
      <c r="F19" s="540"/>
    </row>
    <row r="20" spans="1:6" ht="15" customHeight="1">
      <c r="A20" s="537" t="s">
        <v>936</v>
      </c>
      <c r="B20" s="537" t="s">
        <v>1856</v>
      </c>
      <c r="C20" s="537" t="s">
        <v>282</v>
      </c>
      <c r="D20" s="537" t="s">
        <v>1857</v>
      </c>
      <c r="E20" s="537" t="s">
        <v>210</v>
      </c>
    </row>
    <row r="21" spans="1:6" ht="15" customHeight="1">
      <c r="A21" t="s">
        <v>525</v>
      </c>
      <c r="B21" t="s">
        <v>1858</v>
      </c>
      <c r="C21" t="s">
        <v>945</v>
      </c>
      <c r="D21" t="s">
        <v>1859</v>
      </c>
      <c r="E21" s="538" t="s">
        <v>212</v>
      </c>
    </row>
    <row r="22" spans="1:6" ht="15" customHeight="1">
      <c r="A22" t="s">
        <v>949</v>
      </c>
      <c r="B22" t="s">
        <v>1860</v>
      </c>
      <c r="C22" t="s">
        <v>362</v>
      </c>
      <c r="D22" t="s">
        <v>1861</v>
      </c>
      <c r="E22" s="538" t="s">
        <v>212</v>
      </c>
    </row>
    <row r="23" spans="1:6" ht="15" customHeight="1">
      <c r="A23" t="s">
        <v>1862</v>
      </c>
      <c r="B23" t="s">
        <v>1863</v>
      </c>
      <c r="C23" t="s">
        <v>437</v>
      </c>
      <c r="D23" t="s">
        <v>1864</v>
      </c>
      <c r="E23" s="538" t="s">
        <v>212</v>
      </c>
    </row>
    <row r="25" spans="1:6" ht="15" customHeight="1">
      <c r="A25" s="674" t="s">
        <v>1865</v>
      </c>
      <c r="B25" s="540"/>
      <c r="C25" s="540"/>
      <c r="D25" s="540"/>
      <c r="E25" s="540"/>
      <c r="F25" s="540"/>
    </row>
    <row r="26" spans="1:6" ht="15" customHeight="1">
      <c r="A26" s="537" t="s">
        <v>16</v>
      </c>
      <c r="B26" s="537" t="s">
        <v>571</v>
      </c>
      <c r="C26" s="537" t="s">
        <v>1866</v>
      </c>
      <c r="D26" s="537" t="s">
        <v>210</v>
      </c>
    </row>
    <row r="27" spans="1:6" ht="15" customHeight="1">
      <c r="A27" t="s">
        <v>1867</v>
      </c>
      <c r="B27" t="s">
        <v>1722</v>
      </c>
      <c r="C27" t="s">
        <v>1722</v>
      </c>
      <c r="D27" s="538" t="s">
        <v>212</v>
      </c>
    </row>
    <row r="28" spans="1:6" ht="15" customHeight="1">
      <c r="A28" t="s">
        <v>1868</v>
      </c>
      <c r="B28" t="s">
        <v>1725</v>
      </c>
      <c r="C28" t="s">
        <v>1725</v>
      </c>
      <c r="D28" s="538" t="s">
        <v>212</v>
      </c>
    </row>
    <row r="30" spans="1:6" ht="15" customHeight="1">
      <c r="A30" s="674" t="s">
        <v>1869</v>
      </c>
      <c r="B30" s="540"/>
      <c r="C30" s="540"/>
      <c r="D30" s="540"/>
      <c r="E30" s="540"/>
      <c r="F30" s="540"/>
    </row>
    <row r="31" spans="1:6" ht="15" customHeight="1">
      <c r="A31" s="675" t="s">
        <v>1870</v>
      </c>
      <c r="B31" s="540"/>
      <c r="C31" s="540"/>
      <c r="D31" s="540"/>
      <c r="E31" s="540"/>
      <c r="F31" s="540"/>
    </row>
    <row r="33" spans="1:6" ht="15" customHeight="1">
      <c r="A33" s="674" t="s">
        <v>1871</v>
      </c>
      <c r="B33" s="540"/>
      <c r="C33" s="540"/>
      <c r="D33" s="540"/>
      <c r="E33" s="540"/>
      <c r="F33" s="540"/>
    </row>
    <row r="34" spans="1:6" ht="15" customHeight="1">
      <c r="A34" t="s">
        <v>1872</v>
      </c>
    </row>
    <row r="35" spans="1:6" ht="15" customHeight="1">
      <c r="A35" t="s">
        <v>1873</v>
      </c>
    </row>
    <row r="36" spans="1:6" ht="15" customHeight="1">
      <c r="A36" t="s">
        <v>1874</v>
      </c>
    </row>
  </sheetData>
  <mergeCells count="9">
    <mergeCell ref="A25:F25"/>
    <mergeCell ref="A30:F30"/>
    <mergeCell ref="A31:F31"/>
    <mergeCell ref="A33:F33"/>
    <mergeCell ref="A1:F1"/>
    <mergeCell ref="A2:F2"/>
    <mergeCell ref="A6:F6"/>
    <mergeCell ref="A12:F12"/>
    <mergeCell ref="A19:F19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0. Investment Memo</vt:lpstr>
      <vt:lpstr>1. Executive Summary</vt:lpstr>
      <vt:lpstr>2. Market Opportunity</vt:lpstr>
      <vt:lpstr>3. Key Assumptions</vt:lpstr>
      <vt:lpstr>4. CAPEX &amp; Phasing</vt:lpstr>
      <vt:lpstr>5. Revenue — Phase 1</vt:lpstr>
      <vt:lpstr>6. Revenue — Phased</vt:lpstr>
      <vt:lpstr>7. Operating Expenses</vt:lpstr>
      <vt:lpstr>8. EBITDA &amp; CF — P1</vt:lpstr>
      <vt:lpstr>9. EBITDA &amp; CF — Phased</vt:lpstr>
      <vt:lpstr>10. Returns Analysis</vt:lpstr>
      <vt:lpstr>11. Scenario Stress Test</vt:lpstr>
      <vt:lpstr>12. Operating Model Decision</vt:lpstr>
      <vt:lpstr>13. Phase 2 Gate</vt:lpstr>
      <vt:lpstr>15. WACC Calculation</vt:lpstr>
      <vt:lpstr>_ChartData</vt:lpstr>
      <vt:lpstr>14. Capital Structure Analysis</vt:lpstr>
      <vt:lpstr>16. Lite Alternative</vt:lpstr>
      <vt:lpstr>VALIDATION REPORT</vt:lpstr>
      <vt:lpstr>'1. Executive Summary'!Print_Area</vt:lpstr>
      <vt:lpstr>'10. Returns Analysis'!Print_Area</vt:lpstr>
      <vt:lpstr>'11. Scenario Stress Test'!Print_Area</vt:lpstr>
      <vt:lpstr>'13. Phase 2 Gate'!Print_Area</vt:lpstr>
      <vt:lpstr>'2. Market Opportunity'!Print_Area</vt:lpstr>
      <vt:lpstr>'3. Key Assumptions'!Print_Area</vt:lpstr>
      <vt:lpstr>'4. CAPEX &amp; Phasing'!Print_Area</vt:lpstr>
      <vt:lpstr>'5. Revenue — Phase 1'!Print_Area</vt:lpstr>
      <vt:lpstr>'6. Revenue — Phased'!Print_Area</vt:lpstr>
      <vt:lpstr>'7. Operating Expenses'!Print_Area</vt:lpstr>
      <vt:lpstr>'8. EBITDA &amp; CF — P1'!Print_Area</vt:lpstr>
      <vt:lpstr>'9. EBITDA &amp; CF — Phased'!Print_Area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Giritharan Chockalingam</dc:creator>
  <cp:lastModifiedBy>Giritharan Chockalingam</cp:lastModifiedBy>
  <dcterms:created xsi:type="dcterms:W3CDTF">2026-02-20T15:37:28Z</dcterms:created>
  <dcterms:modified xsi:type="dcterms:W3CDTF">2026-03-05T03:03:16Z</dcterms:modified>
</cp:coreProperties>
</file>